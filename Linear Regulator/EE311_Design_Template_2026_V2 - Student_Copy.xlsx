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dge Download\二十四节气\"/>
    </mc:Choice>
  </mc:AlternateContent>
  <xr:revisionPtr revIDLastSave="0" documentId="8_{00BAED60-AA9D-438D-9EBC-BEEDF193B551}" xr6:coauthVersionLast="47" xr6:coauthVersionMax="47" xr10:uidLastSave="{00000000-0000-0000-0000-000000000000}"/>
  <bookViews>
    <workbookView xWindow="-110" yWindow="-110" windowWidth="25820" windowHeight="14620" xr2:uid="{0EA872C3-4804-43CB-9F0B-5F94DB7B4351}"/>
  </bookViews>
  <sheets>
    <sheet name="SS_Analysis" sheetId="1" r:id="rId1"/>
    <sheet name="Inductor_Design" sheetId="2" r:id="rId2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9" i="1" l="1"/>
  <c r="B11" i="2" l="1"/>
  <c r="B6" i="2"/>
  <c r="D20" i="1" l="1"/>
  <c r="D38" i="1" s="1"/>
  <c r="B20" i="1"/>
  <c r="B79" i="1" s="1"/>
  <c r="F38" i="1"/>
  <c r="J39" i="1"/>
  <c r="D39" i="1"/>
  <c r="J79" i="1"/>
  <c r="H38" i="1"/>
  <c r="B39" i="1" l="1"/>
  <c r="B7" i="2"/>
  <c r="F39" i="1"/>
  <c r="F24" i="1"/>
  <c r="H39" i="1"/>
  <c r="B38" i="1"/>
  <c r="D79" i="1"/>
  <c r="H79" i="1"/>
  <c r="J38" i="1"/>
  <c r="B24" i="1" l="1"/>
  <c r="H24" i="1"/>
  <c r="B9" i="2"/>
  <c r="D24" i="1"/>
  <c r="B8" i="2"/>
  <c r="B36" i="2" s="1"/>
  <c r="J24" i="1"/>
</calcChain>
</file>

<file path=xl/sharedStrings.xml><?xml version="1.0" encoding="utf-8"?>
<sst xmlns="http://schemas.openxmlformats.org/spreadsheetml/2006/main" count="340" uniqueCount="134">
  <si>
    <t>Parameter</t>
  </si>
  <si>
    <t>Value</t>
  </si>
  <si>
    <t>Unit</t>
  </si>
  <si>
    <t>V</t>
  </si>
  <si>
    <t>W</t>
  </si>
  <si>
    <t>Operating fs</t>
  </si>
  <si>
    <t>kHz</t>
  </si>
  <si>
    <t>Unit (eq)</t>
  </si>
  <si>
    <t>µH</t>
  </si>
  <si>
    <t>Evaluating Steady-State Operating Conditions (Theoretical)</t>
  </si>
  <si>
    <t>Vout</t>
  </si>
  <si>
    <t>Pout</t>
  </si>
  <si>
    <t>RLoad</t>
  </si>
  <si>
    <t>Operating D</t>
  </si>
  <si>
    <t>DCM Achieved</t>
  </si>
  <si>
    <t>Validating Steady-State Operating Conditions (Open-Loop Simulations)</t>
  </si>
  <si>
    <t xml:space="preserve">Ohms </t>
  </si>
  <si>
    <t xml:space="preserve">A </t>
  </si>
  <si>
    <t>UC3843 &amp; PI Controller Parameters (Theoretical)</t>
  </si>
  <si>
    <t>Vref for 5V Output</t>
  </si>
  <si>
    <t>Ohms</t>
  </si>
  <si>
    <t>nF</t>
  </si>
  <si>
    <t xml:space="preserve">kOhms </t>
  </si>
  <si>
    <t>Rva</t>
  </si>
  <si>
    <t>Rvb</t>
  </si>
  <si>
    <t>kOhms</t>
  </si>
  <si>
    <t>Selected Kp</t>
  </si>
  <si>
    <t>Selected Ki</t>
  </si>
  <si>
    <t>Validating PI Controller Operation (Closed-Loop Simulations)</t>
  </si>
  <si>
    <t>Vref</t>
  </si>
  <si>
    <t>Steady State Vout</t>
  </si>
  <si>
    <t>Settling Time (+/- 5%)</t>
  </si>
  <si>
    <t>ms</t>
  </si>
  <si>
    <t>Max Vin(avg)</t>
  </si>
  <si>
    <t>Min Vin(avg)</t>
  </si>
  <si>
    <t>Nominal Vout(avg)</t>
  </si>
  <si>
    <t>Vin</t>
  </si>
  <si>
    <t>A</t>
  </si>
  <si>
    <t>dIL</t>
  </si>
  <si>
    <t>Iin(avg) = IL(avg)</t>
  </si>
  <si>
    <t>Iin(rms) = IL(rms)</t>
  </si>
  <si>
    <t>Iin(pk) = IL(pk)</t>
  </si>
  <si>
    <t>Iout(avg) = ID(avg)</t>
  </si>
  <si>
    <t>IC(rms)</t>
  </si>
  <si>
    <t>ISw(rms)</t>
  </si>
  <si>
    <t>VSw(max)</t>
  </si>
  <si>
    <t>VD(max)</t>
  </si>
  <si>
    <t>dVout</t>
  </si>
  <si>
    <t>Max Pout(avg)</t>
  </si>
  <si>
    <t>Min Pout(avg)</t>
  </si>
  <si>
    <t>Transformer Design Specifications</t>
  </si>
  <si>
    <t>Max Bmax</t>
  </si>
  <si>
    <t>T</t>
  </si>
  <si>
    <t>Core, Former &amp; Magnet Wire Details</t>
  </si>
  <si>
    <t>Core type</t>
  </si>
  <si>
    <t>EFD20</t>
  </si>
  <si>
    <t>Core material</t>
  </si>
  <si>
    <t>N97</t>
  </si>
  <si>
    <t>Ae</t>
  </si>
  <si>
    <t>mm^2</t>
  </si>
  <si>
    <t>le</t>
  </si>
  <si>
    <t>mm</t>
  </si>
  <si>
    <t>Ve</t>
  </si>
  <si>
    <t>mm^3</t>
  </si>
  <si>
    <t>AN</t>
  </si>
  <si>
    <t>ln</t>
  </si>
  <si>
    <t>Wire ρ</t>
  </si>
  <si>
    <t>Ωm</t>
  </si>
  <si>
    <t>µ0</t>
  </si>
  <si>
    <t>H/m</t>
  </si>
  <si>
    <t>µe</t>
  </si>
  <si>
    <t>Achievable Kf</t>
  </si>
  <si>
    <t>Evaluating Inductor Parameters</t>
  </si>
  <si>
    <t>Selected lg</t>
  </si>
  <si>
    <t>Np</t>
  </si>
  <si>
    <t>Bmax</t>
  </si>
  <si>
    <t>Bmax &lt; Max Bmax</t>
  </si>
  <si>
    <t>Skin Depth</t>
  </si>
  <si>
    <t xml:space="preserve">Max Rdc Loss in Lp </t>
  </si>
  <si>
    <t>uH</t>
  </si>
  <si>
    <t>Inductor Design - Part II</t>
  </si>
  <si>
    <t>Max RMS IL</t>
  </si>
  <si>
    <t>Max IL(avg)</t>
  </si>
  <si>
    <t>Max IL(pk)</t>
  </si>
  <si>
    <t>Wire Acu</t>
  </si>
  <si>
    <t>Selected Wire Diameter</t>
  </si>
  <si>
    <t>Parallel Wires</t>
  </si>
  <si>
    <t>Rdc of Inductor</t>
  </si>
  <si>
    <t>Experimental Results</t>
  </si>
  <si>
    <t>Inductance</t>
  </si>
  <si>
    <t>Rac</t>
  </si>
  <si>
    <t>mOhm</t>
  </si>
  <si>
    <t>Selected L</t>
  </si>
  <si>
    <t>Ohms (1-8)</t>
  </si>
  <si>
    <t>A (1-10)</t>
  </si>
  <si>
    <t>A (1-11)</t>
  </si>
  <si>
    <t>A (1-12)</t>
  </si>
  <si>
    <t>A (1-13)</t>
  </si>
  <si>
    <t>A (1-14)</t>
  </si>
  <si>
    <t>A (1-15)</t>
  </si>
  <si>
    <t>A (1-16)</t>
  </si>
  <si>
    <t>V (1-17)</t>
  </si>
  <si>
    <t>V (1-18)</t>
  </si>
  <si>
    <t>mV (1-19)</t>
  </si>
  <si>
    <t>Rop1</t>
  </si>
  <si>
    <t>Rop2</t>
  </si>
  <si>
    <t>Min PI Output (Vpi_in)</t>
  </si>
  <si>
    <t>Max PI Output (Vpi_in)</t>
  </si>
  <si>
    <t xml:space="preserve">Cvb </t>
  </si>
  <si>
    <t xml:space="preserve">Ri </t>
  </si>
  <si>
    <t xml:space="preserve">Rrt </t>
  </si>
  <si>
    <t xml:space="preserve">Cct </t>
  </si>
  <si>
    <t xml:space="preserve">Rg </t>
  </si>
  <si>
    <t>Ria</t>
  </si>
  <si>
    <t>Rib</t>
  </si>
  <si>
    <t>Cib</t>
  </si>
  <si>
    <t>Ohms (1-20)</t>
  </si>
  <si>
    <t>kOhms (1-21)</t>
  </si>
  <si>
    <t>kOhms (1-22)</t>
  </si>
  <si>
    <t>pF (1-23)</t>
  </si>
  <si>
    <t>kOhms (1-24)</t>
  </si>
  <si>
    <t>kOhms (1-25)</t>
  </si>
  <si>
    <t>pF (1-26)</t>
  </si>
  <si>
    <t xml:space="preserve">mm </t>
  </si>
  <si>
    <t>Turns (1-1)</t>
  </si>
  <si>
    <t>T (1-2)</t>
  </si>
  <si>
    <t>mm (1-3)</t>
  </si>
  <si>
    <t>mm^2 (1-4)</t>
  </si>
  <si>
    <t>mOhms (1-5)</t>
  </si>
  <si>
    <t>W (1-6)</t>
  </si>
  <si>
    <t>Rdc</t>
  </si>
  <si>
    <t>Linear Regulation - Part I</t>
    <phoneticPr fontId="7" type="noConversion"/>
  </si>
  <si>
    <t>Linear Regulation Specifications</t>
    <phoneticPr fontId="7" type="noConversion"/>
  </si>
  <si>
    <t>0 ~ 3.5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</si>
</sst>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"/>
    <numFmt numFmtId="177" formatCode="0.000E+00"/>
    <numFmt numFmtId="178" formatCode="0.000"/>
    <numFmt numFmtId="179" formatCode="0.00000"/>
  </numFmts>
  <fonts count="8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b/>
      <sz val="11"/>
      <color theme="0"/>
      <name val="等线"/>
      <family val="2"/>
      <scheme val="minor"/>
    </font>
    <font>
      <b/>
      <u/>
      <sz val="16"/>
      <color theme="1"/>
      <name val="等线"/>
      <family val="2"/>
      <scheme val="minor"/>
    </font>
    <font>
      <b/>
      <u/>
      <sz val="14"/>
      <color theme="1"/>
      <name val="等线"/>
      <family val="2"/>
      <scheme val="minor"/>
    </font>
    <font>
      <b/>
      <sz val="12"/>
      <color theme="1"/>
      <name val="等线"/>
      <family val="2"/>
      <scheme val="minor"/>
    </font>
    <font>
      <sz val="12"/>
      <name val="等线"/>
      <family val="2"/>
      <scheme val="minor"/>
    </font>
    <font>
      <sz val="9"/>
      <name val="等线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45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double">
        <color rgb="FF3F3F3F"/>
      </left>
      <right style="thin">
        <color auto="1"/>
      </right>
      <top style="double">
        <color rgb="FF3F3F3F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rgb="FF3F3F3F"/>
      </top>
      <bottom style="thin">
        <color auto="1"/>
      </bottom>
      <diagonal/>
    </border>
    <border>
      <left style="thin">
        <color auto="1"/>
      </left>
      <right style="double">
        <color rgb="FF3F3F3F"/>
      </right>
      <top style="double">
        <color rgb="FF3F3F3F"/>
      </top>
      <bottom style="thin">
        <color auto="1"/>
      </bottom>
      <diagonal/>
    </border>
    <border>
      <left style="double">
        <color rgb="FF3F3F3F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rgb="FF3F3F3F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thin">
        <color auto="1"/>
      </right>
      <top style="thin">
        <color auto="1"/>
      </top>
      <bottom style="double">
        <color rgb="FF3F3F3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rgb="FF3F3F3F"/>
      </bottom>
      <diagonal/>
    </border>
    <border>
      <left style="thin">
        <color auto="1"/>
      </left>
      <right style="double">
        <color rgb="FF3F3F3F"/>
      </right>
      <top style="thin">
        <color auto="1"/>
      </top>
      <bottom style="double">
        <color rgb="FF3F3F3F"/>
      </bottom>
      <diagonal/>
    </border>
    <border>
      <left style="double">
        <color rgb="FF3F3F3F"/>
      </left>
      <right style="thin">
        <color auto="1"/>
      </right>
      <top style="thin">
        <color auto="1"/>
      </top>
      <bottom style="thin">
        <color rgb="FF3F3F3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3F3F3F"/>
      </bottom>
      <diagonal/>
    </border>
    <border>
      <left style="thin">
        <color auto="1"/>
      </left>
      <right style="double">
        <color rgb="FF3F3F3F"/>
      </right>
      <top style="thin">
        <color auto="1"/>
      </top>
      <bottom style="thin">
        <color rgb="FF3F3F3F"/>
      </bottom>
      <diagonal/>
    </border>
    <border>
      <left style="thin">
        <color auto="1"/>
      </left>
      <right style="double">
        <color rgb="FF3F3F3F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rgb="FF3F3F3F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rgb="FF3F3F3F"/>
      </bottom>
      <diagonal/>
    </border>
    <border>
      <left style="thin">
        <color auto="1"/>
      </left>
      <right style="double">
        <color rgb="FF3F3F3F"/>
      </right>
      <top/>
      <bottom/>
      <diagonal/>
    </border>
    <border>
      <left style="thin">
        <color auto="1"/>
      </left>
      <right style="double">
        <color rgb="FF3F3F3F"/>
      </right>
      <top style="thin">
        <color auto="1"/>
      </top>
      <bottom/>
      <diagonal/>
    </border>
    <border>
      <left style="double">
        <color rgb="FF3F3F3F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double">
        <color auto="1"/>
      </right>
      <top/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thin">
        <color rgb="FF3F3F3F"/>
      </right>
      <top style="double">
        <color rgb="FF3F3F3F"/>
      </top>
      <bottom style="thin">
        <color rgb="FF3F3F3F"/>
      </bottom>
      <diagonal/>
    </border>
    <border>
      <left style="thin">
        <color rgb="FF3F3F3F"/>
      </left>
      <right style="thin">
        <color rgb="FF3F3F3F"/>
      </right>
      <top style="double">
        <color rgb="FF3F3F3F"/>
      </top>
      <bottom style="thin">
        <color rgb="FF3F3F3F"/>
      </bottom>
      <diagonal/>
    </border>
    <border>
      <left style="thin">
        <color rgb="FF3F3F3F"/>
      </left>
      <right style="double">
        <color rgb="FF3F3F3F"/>
      </right>
      <top style="double">
        <color rgb="FF3F3F3F"/>
      </top>
      <bottom style="thin">
        <color rgb="FF3F3F3F"/>
      </bottom>
      <diagonal/>
    </border>
    <border>
      <left style="double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3F3F3F"/>
      </left>
      <right style="double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thin">
        <color rgb="FF3F3F3F"/>
      </right>
      <top style="thin">
        <color rgb="FF3F3F3F"/>
      </top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/>
      <diagonal/>
    </border>
    <border>
      <left style="double">
        <color rgb="FF3F3F3F"/>
      </left>
      <right style="thin">
        <color rgb="FF3F3F3F"/>
      </right>
      <top style="thin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double">
        <color rgb="FF3F3F3F"/>
      </bottom>
      <diagonal/>
    </border>
    <border>
      <left style="thin">
        <color rgb="FF3F3F3F"/>
      </left>
      <right style="double">
        <color rgb="FF3F3F3F"/>
      </right>
      <top style="thin">
        <color rgb="FF3F3F3F"/>
      </top>
      <bottom style="double">
        <color rgb="FF3F3F3F"/>
      </bottom>
      <diagonal/>
    </border>
    <border>
      <left style="double">
        <color rgb="FF3F3F3F"/>
      </left>
      <right style="thin">
        <color rgb="FF3F3F3F"/>
      </right>
      <top/>
      <bottom style="thin">
        <color rgb="FF3F3F3F"/>
      </bottom>
      <diagonal/>
    </border>
    <border>
      <left style="thin">
        <color rgb="FF3F3F3F"/>
      </left>
      <right style="thin">
        <color rgb="FF3F3F3F"/>
      </right>
      <top/>
      <bottom style="thin">
        <color rgb="FF3F3F3F"/>
      </bottom>
      <diagonal/>
    </border>
    <border>
      <left style="thin">
        <color rgb="FF3F3F3F"/>
      </left>
      <right style="double">
        <color rgb="FF3F3F3F"/>
      </right>
      <top/>
      <bottom style="thin">
        <color rgb="FF3F3F3F"/>
      </bottom>
      <diagonal/>
    </border>
    <border>
      <left style="double">
        <color rgb="FF3F3F3F"/>
      </left>
      <right style="thin">
        <color rgb="FF3F3F3F"/>
      </right>
      <top style="thin">
        <color rgb="FF000000"/>
      </top>
      <bottom style="double">
        <color rgb="FF000000"/>
      </bottom>
      <diagonal/>
    </border>
    <border>
      <left style="double">
        <color rgb="FF3F3F3F"/>
      </left>
      <right style="thin">
        <color rgb="FF3F3F3F"/>
      </right>
      <top/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/>
      <bottom style="double">
        <color rgb="FF3F3F3F"/>
      </bottom>
      <diagonal/>
    </border>
    <border>
      <left style="thin">
        <color rgb="FF3F3F3F"/>
      </left>
      <right style="double">
        <color rgb="FF3F3F3F"/>
      </right>
      <top/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/>
      <bottom style="double">
        <color rgb="FF000000"/>
      </bottom>
      <diagonal/>
    </border>
    <border>
      <left style="thin">
        <color rgb="FF3F3F3F"/>
      </left>
      <right style="double">
        <color rgb="FF3F3F3F"/>
      </right>
      <top/>
      <bottom style="double">
        <color rgb="FF000000"/>
      </bottom>
      <diagonal/>
    </border>
  </borders>
  <cellStyleXfs count="3">
    <xf numFmtId="0" fontId="0" fillId="0" borderId="0"/>
    <xf numFmtId="0" fontId="2" fillId="2" borderId="1" applyNumberFormat="0" applyAlignment="0" applyProtection="0"/>
    <xf numFmtId="0" fontId="1" fillId="3" borderId="0" applyNumberFormat="0" applyBorder="0" applyAlignment="0" applyProtection="0"/>
  </cellStyleXfs>
  <cellXfs count="81">
    <xf numFmtId="0" fontId="0" fillId="0" borderId="0" xfId="0"/>
    <xf numFmtId="0" fontId="3" fillId="0" borderId="0" xfId="0" applyFont="1"/>
    <xf numFmtId="0" fontId="4" fillId="0" borderId="0" xfId="0" applyFont="1"/>
    <xf numFmtId="0" fontId="2" fillId="2" borderId="1" xfId="1"/>
    <xf numFmtId="0" fontId="1" fillId="3" borderId="2" xfId="2" applyBorder="1"/>
    <xf numFmtId="2" fontId="0" fillId="4" borderId="3" xfId="0" applyNumberFormat="1" applyFill="1" applyBorder="1"/>
    <xf numFmtId="0" fontId="0" fillId="0" borderId="4" xfId="0" applyBorder="1"/>
    <xf numFmtId="0" fontId="1" fillId="3" borderId="5" xfId="2" applyBorder="1"/>
    <xf numFmtId="2" fontId="0" fillId="4" borderId="6" xfId="0" applyNumberFormat="1" applyFill="1" applyBorder="1"/>
    <xf numFmtId="0" fontId="0" fillId="0" borderId="7" xfId="0" applyBorder="1"/>
    <xf numFmtId="0" fontId="1" fillId="3" borderId="8" xfId="2" applyBorder="1"/>
    <xf numFmtId="2" fontId="0" fillId="4" borderId="9" xfId="0" applyNumberFormat="1" applyFill="1" applyBorder="1"/>
    <xf numFmtId="0" fontId="0" fillId="0" borderId="10" xfId="0" applyBorder="1"/>
    <xf numFmtId="0" fontId="5" fillId="0" borderId="0" xfId="0" applyFont="1"/>
    <xf numFmtId="49" fontId="0" fillId="0" borderId="4" xfId="0" applyNumberFormat="1" applyBorder="1"/>
    <xf numFmtId="0" fontId="1" fillId="3" borderId="11" xfId="2" applyBorder="1"/>
    <xf numFmtId="2" fontId="0" fillId="0" borderId="12" xfId="0" applyNumberFormat="1" applyBorder="1"/>
    <xf numFmtId="49" fontId="0" fillId="0" borderId="13" xfId="0" applyNumberFormat="1" applyBorder="1"/>
    <xf numFmtId="49" fontId="0" fillId="0" borderId="14" xfId="0" applyNumberFormat="1" applyBorder="1"/>
    <xf numFmtId="49" fontId="0" fillId="0" borderId="10" xfId="0" applyNumberFormat="1" applyBorder="1"/>
    <xf numFmtId="2" fontId="0" fillId="0" borderId="9" xfId="0" applyNumberFormat="1" applyBorder="1"/>
    <xf numFmtId="49" fontId="0" fillId="0" borderId="3" xfId="0" applyNumberFormat="1" applyBorder="1"/>
    <xf numFmtId="49" fontId="0" fillId="0" borderId="16" xfId="0" applyNumberFormat="1" applyBorder="1"/>
    <xf numFmtId="49" fontId="0" fillId="0" borderId="6" xfId="0" applyNumberFormat="1" applyBorder="1"/>
    <xf numFmtId="49" fontId="0" fillId="0" borderId="17" xfId="0" applyNumberFormat="1" applyBorder="1"/>
    <xf numFmtId="2" fontId="0" fillId="0" borderId="6" xfId="0" applyNumberFormat="1" applyBorder="1"/>
    <xf numFmtId="2" fontId="0" fillId="4" borderId="6" xfId="0" applyNumberFormat="1" applyFill="1" applyBorder="1" applyAlignment="1">
      <alignment horizontal="right"/>
    </xf>
    <xf numFmtId="2" fontId="0" fillId="0" borderId="6" xfId="0" applyNumberFormat="1" applyBorder="1" applyAlignment="1">
      <alignment horizontal="right"/>
    </xf>
    <xf numFmtId="0" fontId="1" fillId="3" borderId="18" xfId="2" applyBorder="1"/>
    <xf numFmtId="2" fontId="0" fillId="0" borderId="19" xfId="0" applyNumberFormat="1" applyBorder="1"/>
    <xf numFmtId="49" fontId="0" fillId="0" borderId="19" xfId="0" applyNumberFormat="1" applyBorder="1"/>
    <xf numFmtId="49" fontId="0" fillId="0" borderId="9" xfId="0" applyNumberFormat="1" applyBorder="1"/>
    <xf numFmtId="49" fontId="0" fillId="0" borderId="20" xfId="0" applyNumberFormat="1" applyBorder="1"/>
    <xf numFmtId="176" fontId="0" fillId="0" borderId="0" xfId="0" applyNumberFormat="1"/>
    <xf numFmtId="49" fontId="0" fillId="0" borderId="0" xfId="0" applyNumberFormat="1"/>
    <xf numFmtId="2" fontId="0" fillId="4" borderId="12" xfId="0" applyNumberFormat="1" applyFill="1" applyBorder="1"/>
    <xf numFmtId="49" fontId="0" fillId="0" borderId="21" xfId="0" applyNumberFormat="1" applyBorder="1"/>
    <xf numFmtId="2" fontId="6" fillId="4" borderId="12" xfId="0" applyNumberFormat="1" applyFont="1" applyFill="1" applyBorder="1"/>
    <xf numFmtId="0" fontId="0" fillId="3" borderId="2" xfId="2" applyFont="1" applyBorder="1"/>
    <xf numFmtId="0" fontId="0" fillId="3" borderId="5" xfId="2" applyFont="1" applyBorder="1"/>
    <xf numFmtId="2" fontId="0" fillId="4" borderId="19" xfId="0" applyNumberFormat="1" applyFill="1" applyBorder="1"/>
    <xf numFmtId="0" fontId="0" fillId="0" borderId="22" xfId="0" applyBorder="1"/>
    <xf numFmtId="2" fontId="0" fillId="4" borderId="15" xfId="0" applyNumberFormat="1" applyFill="1" applyBorder="1"/>
    <xf numFmtId="49" fontId="0" fillId="0" borderId="15" xfId="0" applyNumberFormat="1" applyBorder="1"/>
    <xf numFmtId="49" fontId="0" fillId="0" borderId="24" xfId="0" applyNumberFormat="1" applyBorder="1"/>
    <xf numFmtId="0" fontId="0" fillId="3" borderId="23" xfId="2" applyFont="1" applyBorder="1"/>
    <xf numFmtId="0" fontId="0" fillId="3" borderId="11" xfId="2" applyFont="1" applyBorder="1"/>
    <xf numFmtId="2" fontId="0" fillId="5" borderId="3" xfId="0" applyNumberFormat="1" applyFill="1" applyBorder="1"/>
    <xf numFmtId="2" fontId="0" fillId="5" borderId="15" xfId="0" applyNumberFormat="1" applyFill="1" applyBorder="1"/>
    <xf numFmtId="2" fontId="0" fillId="5" borderId="6" xfId="0" applyNumberFormat="1" applyFill="1" applyBorder="1"/>
    <xf numFmtId="0" fontId="1" fillId="3" borderId="26" xfId="2" applyBorder="1"/>
    <xf numFmtId="176" fontId="0" fillId="4" borderId="27" xfId="0" applyNumberFormat="1" applyFill="1" applyBorder="1" applyAlignment="1">
      <alignment horizontal="right"/>
    </xf>
    <xf numFmtId="49" fontId="0" fillId="0" borderId="28" xfId="0" applyNumberFormat="1" applyBorder="1"/>
    <xf numFmtId="0" fontId="1" fillId="3" borderId="29" xfId="2" applyBorder="1"/>
    <xf numFmtId="0" fontId="0" fillId="4" borderId="25" xfId="0" applyFill="1" applyBorder="1" applyAlignment="1">
      <alignment horizontal="right"/>
    </xf>
    <xf numFmtId="0" fontId="0" fillId="0" borderId="30" xfId="0" applyBorder="1"/>
    <xf numFmtId="2" fontId="0" fillId="0" borderId="25" xfId="0" applyNumberFormat="1" applyBorder="1"/>
    <xf numFmtId="177" fontId="0" fillId="0" borderId="25" xfId="0" applyNumberFormat="1" applyBorder="1"/>
    <xf numFmtId="0" fontId="1" fillId="3" borderId="31" xfId="2" applyBorder="1"/>
    <xf numFmtId="177" fontId="0" fillId="0" borderId="32" xfId="0" applyNumberFormat="1" applyBorder="1"/>
    <xf numFmtId="0" fontId="1" fillId="3" borderId="33" xfId="2" applyBorder="1"/>
    <xf numFmtId="2" fontId="0" fillId="4" borderId="34" xfId="0" applyNumberFormat="1" applyFill="1" applyBorder="1"/>
    <xf numFmtId="0" fontId="0" fillId="0" borderId="35" xfId="0" applyBorder="1"/>
    <xf numFmtId="0" fontId="0" fillId="4" borderId="27" xfId="0" applyFill="1" applyBorder="1"/>
    <xf numFmtId="0" fontId="0" fillId="0" borderId="28" xfId="0" applyBorder="1"/>
    <xf numFmtId="2" fontId="0" fillId="0" borderId="0" xfId="0" applyNumberFormat="1"/>
    <xf numFmtId="0" fontId="1" fillId="3" borderId="36" xfId="2" applyBorder="1"/>
    <xf numFmtId="0" fontId="0" fillId="0" borderId="37" xfId="0" applyBorder="1"/>
    <xf numFmtId="0" fontId="0" fillId="0" borderId="38" xfId="0" applyBorder="1"/>
    <xf numFmtId="178" fontId="0" fillId="0" borderId="37" xfId="0" applyNumberFormat="1" applyBorder="1"/>
    <xf numFmtId="179" fontId="0" fillId="0" borderId="0" xfId="0" applyNumberFormat="1"/>
    <xf numFmtId="0" fontId="0" fillId="4" borderId="37" xfId="0" applyFill="1" applyBorder="1" applyAlignment="1">
      <alignment horizontal="right"/>
    </xf>
    <xf numFmtId="0" fontId="0" fillId="4" borderId="37" xfId="0" applyFill="1" applyBorder="1"/>
    <xf numFmtId="0" fontId="0" fillId="3" borderId="36" xfId="2" applyFont="1" applyBorder="1"/>
    <xf numFmtId="0" fontId="0" fillId="3" borderId="39" xfId="2" applyFont="1" applyBorder="1"/>
    <xf numFmtId="0" fontId="1" fillId="3" borderId="40" xfId="2" applyBorder="1"/>
    <xf numFmtId="2" fontId="0" fillId="0" borderId="41" xfId="0" applyNumberFormat="1" applyBorder="1"/>
    <xf numFmtId="0" fontId="0" fillId="0" borderId="42" xfId="0" applyBorder="1"/>
    <xf numFmtId="0" fontId="0" fillId="0" borderId="43" xfId="0" applyBorder="1"/>
    <xf numFmtId="0" fontId="0" fillId="0" borderId="44" xfId="0" applyBorder="1"/>
    <xf numFmtId="0" fontId="0" fillId="0" borderId="25" xfId="0" applyBorder="1"/>
  </cellXfs>
  <cellStyles count="3">
    <cellStyle name="20% - 着色 1" xfId="2" builtinId="30"/>
    <cellStyle name="常规" xfId="0" builtinId="0"/>
    <cellStyle name="检查单元格" xfId="1" builtinId="2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28CAE-7D6E-414C-9BF7-B54583CFEE9E}">
  <dimension ref="A1:K83"/>
  <sheetViews>
    <sheetView tabSelected="1" topLeftCell="A5" zoomScale="64" workbookViewId="0">
      <selection activeCell="M18" sqref="M18"/>
    </sheetView>
  </sheetViews>
  <sheetFormatPr defaultColWidth="12" defaultRowHeight="14" x14ac:dyDescent="0.3"/>
  <cols>
    <col min="1" max="1" width="20.4140625" customWidth="1"/>
    <col min="2" max="11" width="12.83203125" customWidth="1"/>
  </cols>
  <sheetData>
    <row r="1" spans="1:3" ht="20" x14ac:dyDescent="0.4">
      <c r="A1" s="1" t="s">
        <v>131</v>
      </c>
    </row>
    <row r="3" spans="1:3" ht="17.5" x14ac:dyDescent="0.35">
      <c r="A3" s="2" t="s">
        <v>132</v>
      </c>
    </row>
    <row r="4" spans="1:3" ht="14.5" thickBot="1" x14ac:dyDescent="0.35"/>
    <row r="5" spans="1:3" ht="15" thickTop="1" thickBot="1" x14ac:dyDescent="0.35">
      <c r="A5" s="3" t="s">
        <v>0</v>
      </c>
      <c r="B5" s="3" t="s">
        <v>1</v>
      </c>
      <c r="C5" s="3" t="s">
        <v>2</v>
      </c>
    </row>
    <row r="6" spans="1:3" ht="14.5" thickTop="1" x14ac:dyDescent="0.3">
      <c r="A6" s="38" t="s">
        <v>33</v>
      </c>
      <c r="B6" s="5">
        <v>5</v>
      </c>
      <c r="C6" s="6" t="s">
        <v>3</v>
      </c>
    </row>
    <row r="7" spans="1:3" x14ac:dyDescent="0.3">
      <c r="A7" s="39" t="s">
        <v>34</v>
      </c>
      <c r="B7" s="8" t="s">
        <v>133</v>
      </c>
      <c r="C7" s="9" t="s">
        <v>3</v>
      </c>
    </row>
    <row r="8" spans="1:3" x14ac:dyDescent="0.3">
      <c r="A8" s="39" t="s">
        <v>35</v>
      </c>
      <c r="B8" s="8">
        <v>3.5</v>
      </c>
      <c r="C8" s="9" t="s">
        <v>3</v>
      </c>
    </row>
    <row r="9" spans="1:3" x14ac:dyDescent="0.3">
      <c r="A9" s="39" t="s">
        <v>48</v>
      </c>
      <c r="B9" s="8">
        <v>0.5</v>
      </c>
      <c r="C9" s="9" t="s">
        <v>4</v>
      </c>
    </row>
    <row r="10" spans="1:3" x14ac:dyDescent="0.3">
      <c r="A10" s="39" t="s">
        <v>49</v>
      </c>
      <c r="B10" s="40">
        <v>1.75</v>
      </c>
      <c r="C10" s="41" t="s">
        <v>4</v>
      </c>
    </row>
    <row r="11" spans="1:3" ht="15.5" x14ac:dyDescent="0.35">
      <c r="A11" s="13"/>
    </row>
    <row r="15" spans="1:3" ht="17.5" x14ac:dyDescent="0.35">
      <c r="A15" s="2" t="s">
        <v>9</v>
      </c>
    </row>
    <row r="16" spans="1:3" ht="14.5" thickBot="1" x14ac:dyDescent="0.35"/>
    <row r="17" spans="1:11" ht="15" thickTop="1" thickBot="1" x14ac:dyDescent="0.35">
      <c r="A17" s="3" t="s">
        <v>0</v>
      </c>
      <c r="B17" s="3" t="s">
        <v>1</v>
      </c>
      <c r="C17" s="3" t="s">
        <v>7</v>
      </c>
      <c r="D17" s="3" t="s">
        <v>1</v>
      </c>
      <c r="E17" s="3" t="s">
        <v>7</v>
      </c>
      <c r="F17" s="3" t="s">
        <v>1</v>
      </c>
      <c r="G17" s="3" t="s">
        <v>7</v>
      </c>
      <c r="H17" s="3" t="s">
        <v>1</v>
      </c>
      <c r="I17" s="3" t="s">
        <v>7</v>
      </c>
      <c r="J17" s="3" t="s">
        <v>1</v>
      </c>
      <c r="K17" s="3" t="s">
        <v>7</v>
      </c>
    </row>
    <row r="18" spans="1:11" ht="14.5" thickTop="1" x14ac:dyDescent="0.3">
      <c r="A18" s="4" t="s">
        <v>10</v>
      </c>
      <c r="B18" s="5">
        <v>3.476</v>
      </c>
      <c r="C18" s="21" t="s">
        <v>3</v>
      </c>
      <c r="D18" s="5">
        <v>5</v>
      </c>
      <c r="E18" s="21" t="s">
        <v>3</v>
      </c>
      <c r="F18" s="47">
        <v>5</v>
      </c>
      <c r="G18" s="21" t="s">
        <v>3</v>
      </c>
      <c r="H18" s="5">
        <v>5</v>
      </c>
      <c r="I18" s="21" t="s">
        <v>3</v>
      </c>
      <c r="J18" s="5">
        <v>5</v>
      </c>
      <c r="K18" s="22" t="s">
        <v>3</v>
      </c>
    </row>
    <row r="19" spans="1:11" x14ac:dyDescent="0.3">
      <c r="A19" s="45" t="s">
        <v>36</v>
      </c>
      <c r="B19" s="42">
        <v>5</v>
      </c>
      <c r="C19" s="43" t="s">
        <v>3</v>
      </c>
      <c r="D19" s="42">
        <v>3.33</v>
      </c>
      <c r="E19" s="43" t="s">
        <v>3</v>
      </c>
      <c r="F19" s="48">
        <v>3.5</v>
      </c>
      <c r="G19" s="43" t="s">
        <v>3</v>
      </c>
      <c r="H19" s="42">
        <v>2.5</v>
      </c>
      <c r="I19" s="43" t="s">
        <v>3</v>
      </c>
      <c r="J19" s="42">
        <v>3.5</v>
      </c>
      <c r="K19" s="44" t="s">
        <v>3</v>
      </c>
    </row>
    <row r="20" spans="1:11" x14ac:dyDescent="0.3">
      <c r="A20" s="7" t="s">
        <v>11</v>
      </c>
      <c r="B20" s="8">
        <f>B10</f>
        <v>1.75</v>
      </c>
      <c r="C20" s="23" t="s">
        <v>4</v>
      </c>
      <c r="D20" s="8">
        <f>B10</f>
        <v>1.75</v>
      </c>
      <c r="E20" s="23" t="s">
        <v>4</v>
      </c>
      <c r="F20" s="49">
        <v>0.5</v>
      </c>
      <c r="G20" s="23" t="s">
        <v>4</v>
      </c>
      <c r="H20" s="8">
        <v>5</v>
      </c>
      <c r="I20" s="23" t="s">
        <v>4</v>
      </c>
      <c r="J20" s="8">
        <v>5</v>
      </c>
      <c r="K20" s="24" t="s">
        <v>4</v>
      </c>
    </row>
    <row r="21" spans="1:11" x14ac:dyDescent="0.3">
      <c r="A21" s="7" t="s">
        <v>12</v>
      </c>
      <c r="B21" s="25"/>
      <c r="C21" s="23" t="s">
        <v>93</v>
      </c>
      <c r="D21" s="25"/>
      <c r="E21" s="23" t="s">
        <v>93</v>
      </c>
      <c r="F21" s="25"/>
      <c r="G21" s="23" t="s">
        <v>93</v>
      </c>
      <c r="H21" s="25"/>
      <c r="I21" s="23" t="s">
        <v>93</v>
      </c>
      <c r="J21" s="25"/>
      <c r="K21" s="23" t="s">
        <v>93</v>
      </c>
    </row>
    <row r="22" spans="1:11" x14ac:dyDescent="0.3">
      <c r="A22" s="39" t="s">
        <v>39</v>
      </c>
      <c r="B22" s="25"/>
      <c r="C22" s="23" t="s">
        <v>94</v>
      </c>
      <c r="D22" s="25"/>
      <c r="E22" s="23" t="s">
        <v>94</v>
      </c>
      <c r="F22" s="25"/>
      <c r="G22" s="23" t="s">
        <v>94</v>
      </c>
      <c r="H22" s="25"/>
      <c r="I22" s="23" t="s">
        <v>94</v>
      </c>
      <c r="J22" s="25"/>
      <c r="K22" s="23" t="s">
        <v>94</v>
      </c>
    </row>
    <row r="23" spans="1:11" x14ac:dyDescent="0.3">
      <c r="A23" s="39" t="s">
        <v>38</v>
      </c>
      <c r="B23" s="25"/>
      <c r="C23" s="23" t="s">
        <v>95</v>
      </c>
      <c r="D23" s="25"/>
      <c r="E23" s="23" t="s">
        <v>95</v>
      </c>
      <c r="F23" s="25"/>
      <c r="G23" s="23" t="s">
        <v>95</v>
      </c>
      <c r="H23" s="25"/>
      <c r="I23" s="23" t="s">
        <v>95</v>
      </c>
      <c r="J23" s="25"/>
      <c r="K23" s="23" t="s">
        <v>95</v>
      </c>
    </row>
    <row r="24" spans="1:11" x14ac:dyDescent="0.3">
      <c r="A24" s="7" t="s">
        <v>14</v>
      </c>
      <c r="B24" s="26" t="str">
        <f>IF(B22&gt;=B23/2,"Yes","No")</f>
        <v>Yes</v>
      </c>
      <c r="C24" s="23"/>
      <c r="D24" s="26" t="str">
        <f>IF(D22&gt;=D23/2,"Yes","No")</f>
        <v>Yes</v>
      </c>
      <c r="E24" s="23"/>
      <c r="F24" s="26" t="str">
        <f>IF(F22&gt;=F23/2,"Yes","No")</f>
        <v>Yes</v>
      </c>
      <c r="G24" s="23"/>
      <c r="H24" s="26" t="str">
        <f>IF(H22&gt;=H23/2,"Yes","No")</f>
        <v>Yes</v>
      </c>
      <c r="I24" s="23"/>
      <c r="J24" s="26" t="str">
        <f>IF(J22&gt;=J23/2,"Yes","No")</f>
        <v>Yes</v>
      </c>
      <c r="K24" s="24"/>
    </row>
    <row r="25" spans="1:11" x14ac:dyDescent="0.3">
      <c r="A25" s="7" t="s">
        <v>41</v>
      </c>
      <c r="B25" s="25"/>
      <c r="C25" s="23" t="s">
        <v>96</v>
      </c>
      <c r="D25" s="25"/>
      <c r="E25" s="23" t="s">
        <v>96</v>
      </c>
      <c r="F25" s="25"/>
      <c r="G25" s="23" t="s">
        <v>96</v>
      </c>
      <c r="H25" s="25"/>
      <c r="I25" s="23" t="s">
        <v>96</v>
      </c>
      <c r="J25" s="25"/>
      <c r="K25" s="23" t="s">
        <v>96</v>
      </c>
    </row>
    <row r="26" spans="1:11" x14ac:dyDescent="0.3">
      <c r="A26" s="7" t="s">
        <v>40</v>
      </c>
      <c r="B26" s="25"/>
      <c r="C26" s="23" t="s">
        <v>97</v>
      </c>
      <c r="D26" s="25"/>
      <c r="E26" s="23" t="s">
        <v>97</v>
      </c>
      <c r="F26" s="25"/>
      <c r="G26" s="23" t="s">
        <v>97</v>
      </c>
      <c r="H26" s="25"/>
      <c r="I26" s="23" t="s">
        <v>97</v>
      </c>
      <c r="J26" s="25"/>
      <c r="K26" s="23" t="s">
        <v>97</v>
      </c>
    </row>
    <row r="27" spans="1:11" x14ac:dyDescent="0.3">
      <c r="A27" s="28" t="s">
        <v>42</v>
      </c>
      <c r="B27" s="29"/>
      <c r="C27" s="23" t="s">
        <v>98</v>
      </c>
      <c r="D27" s="29"/>
      <c r="E27" s="23" t="s">
        <v>98</v>
      </c>
      <c r="F27" s="29"/>
      <c r="G27" s="23" t="s">
        <v>98</v>
      </c>
      <c r="H27" s="29"/>
      <c r="I27" s="23" t="s">
        <v>98</v>
      </c>
      <c r="J27" s="29"/>
      <c r="K27" s="23" t="s">
        <v>98</v>
      </c>
    </row>
    <row r="28" spans="1:11" x14ac:dyDescent="0.3">
      <c r="A28" s="28" t="s">
        <v>44</v>
      </c>
      <c r="B28" s="29"/>
      <c r="C28" s="23" t="s">
        <v>99</v>
      </c>
      <c r="D28" s="29"/>
      <c r="E28" s="23" t="s">
        <v>99</v>
      </c>
      <c r="F28" s="29"/>
      <c r="G28" s="23" t="s">
        <v>99</v>
      </c>
      <c r="H28" s="29"/>
      <c r="I28" s="23" t="s">
        <v>99</v>
      </c>
      <c r="J28" s="29"/>
      <c r="K28" s="23" t="s">
        <v>99</v>
      </c>
    </row>
    <row r="29" spans="1:11" x14ac:dyDescent="0.3">
      <c r="A29" s="28" t="s">
        <v>43</v>
      </c>
      <c r="B29" s="29"/>
      <c r="C29" s="23" t="s">
        <v>100</v>
      </c>
      <c r="D29" s="29"/>
      <c r="E29" s="23" t="s">
        <v>100</v>
      </c>
      <c r="F29" s="29"/>
      <c r="G29" s="23" t="s">
        <v>100</v>
      </c>
      <c r="H29" s="29"/>
      <c r="I29" s="23" t="s">
        <v>100</v>
      </c>
      <c r="J29" s="29"/>
      <c r="K29" s="23" t="s">
        <v>100</v>
      </c>
    </row>
    <row r="30" spans="1:11" x14ac:dyDescent="0.3">
      <c r="A30" s="7" t="s">
        <v>45</v>
      </c>
      <c r="B30" s="29"/>
      <c r="C30" s="23" t="s">
        <v>101</v>
      </c>
      <c r="D30" s="29"/>
      <c r="E30" s="23" t="s">
        <v>101</v>
      </c>
      <c r="F30" s="29"/>
      <c r="G30" s="23" t="s">
        <v>101</v>
      </c>
      <c r="H30" s="29"/>
      <c r="I30" s="23" t="s">
        <v>101</v>
      </c>
      <c r="J30" s="29"/>
      <c r="K30" s="23" t="s">
        <v>101</v>
      </c>
    </row>
    <row r="31" spans="1:11" x14ac:dyDescent="0.3">
      <c r="A31" s="28" t="s">
        <v>46</v>
      </c>
      <c r="B31" s="29"/>
      <c r="C31" s="23" t="s">
        <v>102</v>
      </c>
      <c r="D31" s="29"/>
      <c r="E31" s="23" t="s">
        <v>102</v>
      </c>
      <c r="F31" s="29"/>
      <c r="G31" s="23" t="s">
        <v>102</v>
      </c>
      <c r="H31" s="29"/>
      <c r="I31" s="23" t="s">
        <v>102</v>
      </c>
      <c r="J31" s="29"/>
      <c r="K31" s="23" t="s">
        <v>102</v>
      </c>
    </row>
    <row r="32" spans="1:11" ht="14.5" thickBot="1" x14ac:dyDescent="0.35">
      <c r="A32" s="10" t="s">
        <v>47</v>
      </c>
      <c r="B32" s="20"/>
      <c r="C32" s="31" t="s">
        <v>103</v>
      </c>
      <c r="D32" s="20"/>
      <c r="E32" s="31" t="s">
        <v>103</v>
      </c>
      <c r="F32" s="20"/>
      <c r="G32" s="31" t="s">
        <v>103</v>
      </c>
      <c r="H32" s="20"/>
      <c r="I32" s="31" t="s">
        <v>103</v>
      </c>
      <c r="J32" s="20"/>
      <c r="K32" s="31" t="s">
        <v>103</v>
      </c>
    </row>
    <row r="33" spans="1:11" ht="14.5" thickTop="1" x14ac:dyDescent="0.3">
      <c r="B33" s="33"/>
      <c r="C33" s="34"/>
    </row>
    <row r="34" spans="1:11" x14ac:dyDescent="0.3">
      <c r="B34" s="33"/>
      <c r="C34" s="34"/>
    </row>
    <row r="35" spans="1:11" ht="17.5" x14ac:dyDescent="0.35">
      <c r="A35" s="2" t="s">
        <v>15</v>
      </c>
    </row>
    <row r="36" spans="1:11" ht="14.5" thickBot="1" x14ac:dyDescent="0.35"/>
    <row r="37" spans="1:11" ht="15" thickTop="1" thickBot="1" x14ac:dyDescent="0.35">
      <c r="A37" s="3" t="s">
        <v>0</v>
      </c>
      <c r="B37" s="3" t="s">
        <v>1</v>
      </c>
      <c r="C37" s="3" t="s">
        <v>7</v>
      </c>
      <c r="D37" s="3" t="s">
        <v>1</v>
      </c>
      <c r="E37" s="3" t="s">
        <v>7</v>
      </c>
      <c r="F37" s="3"/>
      <c r="G37" s="3"/>
      <c r="H37" s="3" t="s">
        <v>1</v>
      </c>
      <c r="I37" s="3" t="s">
        <v>7</v>
      </c>
      <c r="J37" s="3" t="s">
        <v>1</v>
      </c>
      <c r="K37" s="3" t="s">
        <v>7</v>
      </c>
    </row>
    <row r="38" spans="1:11" ht="14.5" thickTop="1" x14ac:dyDescent="0.3">
      <c r="A38" s="7" t="s">
        <v>12</v>
      </c>
      <c r="B38" s="8">
        <f>B21</f>
        <v>0</v>
      </c>
      <c r="C38" s="23" t="s">
        <v>16</v>
      </c>
      <c r="D38" s="8">
        <f>D21</f>
        <v>0</v>
      </c>
      <c r="E38" s="23" t="s">
        <v>16</v>
      </c>
      <c r="F38" s="8">
        <f>F21</f>
        <v>0</v>
      </c>
      <c r="G38" s="23" t="s">
        <v>16</v>
      </c>
      <c r="H38" s="8">
        <f>H21</f>
        <v>0</v>
      </c>
      <c r="I38" s="23" t="s">
        <v>16</v>
      </c>
      <c r="J38" s="8">
        <f>J21</f>
        <v>0</v>
      </c>
      <c r="K38" s="24" t="s">
        <v>16</v>
      </c>
    </row>
    <row r="39" spans="1:11" x14ac:dyDescent="0.3">
      <c r="A39" s="7" t="s">
        <v>13</v>
      </c>
      <c r="B39" s="8" t="e">
        <f>#REF!</f>
        <v>#REF!</v>
      </c>
      <c r="C39" s="23"/>
      <c r="D39" s="8" t="e">
        <f>#REF!</f>
        <v>#REF!</v>
      </c>
      <c r="E39" s="23"/>
      <c r="F39" s="8" t="e">
        <f>#REF!</f>
        <v>#REF!</v>
      </c>
      <c r="G39" s="23"/>
      <c r="H39" s="8" t="e">
        <f>#REF!</f>
        <v>#REF!</v>
      </c>
      <c r="I39" s="23"/>
      <c r="J39" s="8" t="e">
        <f>#REF!</f>
        <v>#REF!</v>
      </c>
      <c r="K39" s="24"/>
    </row>
    <row r="40" spans="1:11" x14ac:dyDescent="0.3">
      <c r="A40" s="7" t="s">
        <v>10</v>
      </c>
      <c r="B40" s="25"/>
      <c r="C40" s="23" t="s">
        <v>3</v>
      </c>
      <c r="D40" s="25"/>
      <c r="E40" s="23" t="s">
        <v>3</v>
      </c>
      <c r="F40" s="23"/>
      <c r="G40" s="23"/>
      <c r="H40" s="25"/>
      <c r="I40" s="23" t="s">
        <v>3</v>
      </c>
      <c r="J40" s="25"/>
      <c r="K40" s="24" t="s">
        <v>3</v>
      </c>
    </row>
    <row r="41" spans="1:11" x14ac:dyDescent="0.3">
      <c r="A41" s="7" t="s">
        <v>11</v>
      </c>
      <c r="B41" s="25"/>
      <c r="C41" s="23" t="s">
        <v>4</v>
      </c>
      <c r="D41" s="25"/>
      <c r="E41" s="23" t="s">
        <v>4</v>
      </c>
      <c r="F41" s="23"/>
      <c r="G41" s="23"/>
      <c r="H41" s="25"/>
      <c r="I41" s="23" t="s">
        <v>4</v>
      </c>
      <c r="J41" s="25"/>
      <c r="K41" s="24" t="s">
        <v>4</v>
      </c>
    </row>
    <row r="42" spans="1:11" x14ac:dyDescent="0.3">
      <c r="A42" s="7" t="s">
        <v>14</v>
      </c>
      <c r="B42" s="27"/>
      <c r="C42" s="23"/>
      <c r="D42" s="27"/>
      <c r="E42" s="23"/>
      <c r="F42" s="23"/>
      <c r="G42" s="23"/>
      <c r="H42" s="27"/>
      <c r="I42" s="23"/>
      <c r="J42" s="27"/>
      <c r="K42" s="24"/>
    </row>
    <row r="43" spans="1:11" x14ac:dyDescent="0.3">
      <c r="A43" s="39" t="s">
        <v>38</v>
      </c>
      <c r="B43" s="27"/>
      <c r="C43" s="23" t="s">
        <v>17</v>
      </c>
      <c r="D43" s="27"/>
      <c r="E43" s="23" t="s">
        <v>17</v>
      </c>
      <c r="F43" s="23"/>
      <c r="G43" s="23" t="s">
        <v>17</v>
      </c>
      <c r="H43" s="27"/>
      <c r="I43" s="23" t="s">
        <v>17</v>
      </c>
      <c r="J43" s="27"/>
      <c r="K43" s="23" t="s">
        <v>17</v>
      </c>
    </row>
    <row r="44" spans="1:11" x14ac:dyDescent="0.3">
      <c r="A44" s="7" t="s">
        <v>41</v>
      </c>
      <c r="B44" s="25"/>
      <c r="C44" s="23" t="s">
        <v>17</v>
      </c>
      <c r="D44" s="25"/>
      <c r="E44" s="23" t="s">
        <v>17</v>
      </c>
      <c r="F44" s="23"/>
      <c r="G44" s="23" t="s">
        <v>17</v>
      </c>
      <c r="H44" s="25"/>
      <c r="I44" s="23" t="s">
        <v>17</v>
      </c>
      <c r="J44" s="25"/>
      <c r="K44" s="23" t="s">
        <v>17</v>
      </c>
    </row>
    <row r="45" spans="1:11" x14ac:dyDescent="0.3">
      <c r="A45" s="7" t="s">
        <v>40</v>
      </c>
      <c r="B45" s="25"/>
      <c r="C45" s="23" t="s">
        <v>17</v>
      </c>
      <c r="D45" s="25"/>
      <c r="E45" s="23" t="s">
        <v>17</v>
      </c>
      <c r="F45" s="23"/>
      <c r="G45" s="23" t="s">
        <v>17</v>
      </c>
      <c r="H45" s="25"/>
      <c r="I45" s="23" t="s">
        <v>17</v>
      </c>
      <c r="J45" s="25"/>
      <c r="K45" s="23" t="s">
        <v>17</v>
      </c>
    </row>
    <row r="46" spans="1:11" x14ac:dyDescent="0.3">
      <c r="A46" s="28" t="s">
        <v>42</v>
      </c>
      <c r="B46" s="29"/>
      <c r="C46" s="23" t="s">
        <v>17</v>
      </c>
      <c r="D46" s="29"/>
      <c r="E46" s="23" t="s">
        <v>17</v>
      </c>
      <c r="F46" s="30"/>
      <c r="G46" s="23" t="s">
        <v>17</v>
      </c>
      <c r="H46" s="29"/>
      <c r="I46" s="23" t="s">
        <v>17</v>
      </c>
      <c r="J46" s="29"/>
      <c r="K46" s="23" t="s">
        <v>17</v>
      </c>
    </row>
    <row r="47" spans="1:11" x14ac:dyDescent="0.3">
      <c r="A47" s="28" t="s">
        <v>44</v>
      </c>
      <c r="B47" s="29"/>
      <c r="C47" s="23" t="s">
        <v>17</v>
      </c>
      <c r="D47" s="29"/>
      <c r="E47" s="23" t="s">
        <v>17</v>
      </c>
      <c r="F47" s="30"/>
      <c r="G47" s="23" t="s">
        <v>17</v>
      </c>
      <c r="H47" s="29"/>
      <c r="I47" s="23" t="s">
        <v>17</v>
      </c>
      <c r="J47" s="29"/>
      <c r="K47" s="23" t="s">
        <v>17</v>
      </c>
    </row>
    <row r="48" spans="1:11" x14ac:dyDescent="0.3">
      <c r="A48" s="28" t="s">
        <v>43</v>
      </c>
      <c r="B48" s="29"/>
      <c r="C48" s="23" t="s">
        <v>17</v>
      </c>
      <c r="D48" s="29"/>
      <c r="E48" s="23" t="s">
        <v>17</v>
      </c>
      <c r="F48" s="30"/>
      <c r="G48" s="23" t="s">
        <v>17</v>
      </c>
      <c r="H48" s="29"/>
      <c r="I48" s="23" t="s">
        <v>17</v>
      </c>
      <c r="J48" s="29"/>
      <c r="K48" s="23" t="s">
        <v>17</v>
      </c>
    </row>
    <row r="49" spans="1:11" x14ac:dyDescent="0.3">
      <c r="A49" s="7" t="s">
        <v>45</v>
      </c>
      <c r="B49" s="29"/>
      <c r="C49" s="23" t="s">
        <v>3</v>
      </c>
      <c r="D49" s="29"/>
      <c r="E49" s="23" t="s">
        <v>3</v>
      </c>
      <c r="F49" s="30"/>
      <c r="G49" s="23" t="s">
        <v>3</v>
      </c>
      <c r="H49" s="29"/>
      <c r="I49" s="23" t="s">
        <v>3</v>
      </c>
      <c r="J49" s="29"/>
      <c r="K49" s="23" t="s">
        <v>3</v>
      </c>
    </row>
    <row r="50" spans="1:11" x14ac:dyDescent="0.3">
      <c r="A50" s="28" t="s">
        <v>46</v>
      </c>
      <c r="B50" s="29"/>
      <c r="C50" s="30" t="s">
        <v>3</v>
      </c>
      <c r="D50" s="29"/>
      <c r="E50" s="30" t="s">
        <v>3</v>
      </c>
      <c r="F50" s="30"/>
      <c r="G50" s="30" t="s">
        <v>3</v>
      </c>
      <c r="H50" s="29"/>
      <c r="I50" s="30" t="s">
        <v>3</v>
      </c>
      <c r="J50" s="29"/>
      <c r="K50" s="30" t="s">
        <v>3</v>
      </c>
    </row>
    <row r="51" spans="1:11" ht="14.5" thickBot="1" x14ac:dyDescent="0.35">
      <c r="A51" s="10" t="s">
        <v>47</v>
      </c>
      <c r="B51" s="20"/>
      <c r="C51" s="31" t="s">
        <v>3</v>
      </c>
      <c r="D51" s="20"/>
      <c r="E51" s="31" t="s">
        <v>3</v>
      </c>
      <c r="F51" s="31"/>
      <c r="G51" s="31" t="s">
        <v>3</v>
      </c>
      <c r="H51" s="20"/>
      <c r="I51" s="31" t="s">
        <v>3</v>
      </c>
      <c r="J51" s="20"/>
      <c r="K51" s="31" t="s">
        <v>3</v>
      </c>
    </row>
    <row r="52" spans="1:11" ht="14.5" thickTop="1" x14ac:dyDescent="0.3"/>
    <row r="54" spans="1:11" ht="17.5" x14ac:dyDescent="0.35">
      <c r="A54" s="2" t="s">
        <v>18</v>
      </c>
    </row>
    <row r="55" spans="1:11" ht="14.5" thickBot="1" x14ac:dyDescent="0.35"/>
    <row r="56" spans="1:11" ht="15" thickTop="1" thickBot="1" x14ac:dyDescent="0.35">
      <c r="A56" s="3" t="s">
        <v>0</v>
      </c>
      <c r="B56" s="3" t="s">
        <v>1</v>
      </c>
      <c r="C56" s="3" t="s">
        <v>7</v>
      </c>
    </row>
    <row r="57" spans="1:11" ht="14.5" thickTop="1" x14ac:dyDescent="0.3">
      <c r="A57" s="4" t="s">
        <v>106</v>
      </c>
      <c r="B57" s="5">
        <v>1</v>
      </c>
      <c r="C57" s="14" t="s">
        <v>3</v>
      </c>
    </row>
    <row r="58" spans="1:11" x14ac:dyDescent="0.3">
      <c r="A58" s="15" t="s">
        <v>107</v>
      </c>
      <c r="B58" s="35">
        <v>4</v>
      </c>
      <c r="C58" s="17" t="s">
        <v>3</v>
      </c>
    </row>
    <row r="59" spans="1:11" x14ac:dyDescent="0.3">
      <c r="A59" s="15" t="s">
        <v>19</v>
      </c>
      <c r="B59" s="35">
        <v>2.5</v>
      </c>
      <c r="C59" s="36" t="s">
        <v>3</v>
      </c>
    </row>
    <row r="60" spans="1:11" ht="15.5" x14ac:dyDescent="0.35">
      <c r="A60" s="46" t="s">
        <v>112</v>
      </c>
      <c r="B60" s="37">
        <v>22</v>
      </c>
      <c r="C60" s="18" t="s">
        <v>20</v>
      </c>
    </row>
    <row r="61" spans="1:11" x14ac:dyDescent="0.3">
      <c r="A61" s="46" t="s">
        <v>111</v>
      </c>
      <c r="B61" s="35">
        <v>1</v>
      </c>
      <c r="C61" s="18" t="s">
        <v>21</v>
      </c>
    </row>
    <row r="62" spans="1:11" x14ac:dyDescent="0.3">
      <c r="A62" s="46" t="s">
        <v>110</v>
      </c>
      <c r="B62" s="16"/>
      <c r="C62" s="18" t="s">
        <v>22</v>
      </c>
    </row>
    <row r="63" spans="1:11" x14ac:dyDescent="0.3">
      <c r="A63" s="46" t="s">
        <v>109</v>
      </c>
      <c r="B63" s="16"/>
      <c r="C63" s="18" t="s">
        <v>116</v>
      </c>
    </row>
    <row r="64" spans="1:11" x14ac:dyDescent="0.3">
      <c r="A64" s="46" t="s">
        <v>113</v>
      </c>
      <c r="B64" s="16"/>
      <c r="C64" s="18" t="s">
        <v>117</v>
      </c>
    </row>
    <row r="65" spans="1:11" x14ac:dyDescent="0.3">
      <c r="A65" s="46" t="s">
        <v>114</v>
      </c>
      <c r="B65" s="16"/>
      <c r="C65" s="18" t="s">
        <v>118</v>
      </c>
    </row>
    <row r="66" spans="1:11" x14ac:dyDescent="0.3">
      <c r="A66" s="46" t="s">
        <v>115</v>
      </c>
      <c r="B66" s="16"/>
      <c r="C66" s="18" t="s">
        <v>119</v>
      </c>
    </row>
    <row r="67" spans="1:11" x14ac:dyDescent="0.3">
      <c r="A67" s="46" t="s">
        <v>23</v>
      </c>
      <c r="B67" s="16"/>
      <c r="C67" s="18" t="s">
        <v>120</v>
      </c>
    </row>
    <row r="68" spans="1:11" x14ac:dyDescent="0.3">
      <c r="A68" s="46" t="s">
        <v>24</v>
      </c>
      <c r="B68" s="16"/>
      <c r="C68" s="18" t="s">
        <v>121</v>
      </c>
    </row>
    <row r="69" spans="1:11" x14ac:dyDescent="0.3">
      <c r="A69" s="46" t="s">
        <v>108</v>
      </c>
      <c r="B69" s="16"/>
      <c r="C69" s="18" t="s">
        <v>122</v>
      </c>
    </row>
    <row r="70" spans="1:11" x14ac:dyDescent="0.3">
      <c r="A70" s="15" t="s">
        <v>104</v>
      </c>
      <c r="B70" s="35">
        <v>4.7</v>
      </c>
      <c r="C70" s="18" t="s">
        <v>25</v>
      </c>
    </row>
    <row r="71" spans="1:11" x14ac:dyDescent="0.3">
      <c r="A71" s="15" t="s">
        <v>105</v>
      </c>
      <c r="B71" s="35">
        <v>10</v>
      </c>
      <c r="C71" s="18" t="s">
        <v>25</v>
      </c>
    </row>
    <row r="72" spans="1:11" x14ac:dyDescent="0.3">
      <c r="A72" s="15" t="s">
        <v>26</v>
      </c>
      <c r="B72" s="16"/>
      <c r="C72" s="18"/>
    </row>
    <row r="73" spans="1:11" ht="14.5" thickBot="1" x14ac:dyDescent="0.35">
      <c r="A73" s="10" t="s">
        <v>27</v>
      </c>
      <c r="B73" s="20"/>
      <c r="C73" s="19"/>
    </row>
    <row r="74" spans="1:11" ht="14.5" thickTop="1" x14ac:dyDescent="0.3"/>
    <row r="76" spans="1:11" ht="17.5" x14ac:dyDescent="0.35">
      <c r="A76" s="2" t="s">
        <v>28</v>
      </c>
    </row>
    <row r="77" spans="1:11" ht="14.5" thickBot="1" x14ac:dyDescent="0.35"/>
    <row r="78" spans="1:11" ht="15" thickTop="1" thickBot="1" x14ac:dyDescent="0.35">
      <c r="A78" s="3" t="s">
        <v>0</v>
      </c>
      <c r="B78" s="3" t="s">
        <v>1</v>
      </c>
      <c r="C78" s="3" t="s">
        <v>7</v>
      </c>
      <c r="D78" s="3" t="s">
        <v>1</v>
      </c>
      <c r="E78" s="3" t="s">
        <v>7</v>
      </c>
      <c r="F78" s="3"/>
      <c r="G78" s="3"/>
      <c r="H78" s="3" t="s">
        <v>1</v>
      </c>
      <c r="I78" s="3" t="s">
        <v>7</v>
      </c>
      <c r="J78" s="3" t="s">
        <v>1</v>
      </c>
      <c r="K78" s="3" t="s">
        <v>7</v>
      </c>
    </row>
    <row r="79" spans="1:11" ht="14.5" thickTop="1" x14ac:dyDescent="0.3">
      <c r="A79" s="7" t="s">
        <v>12</v>
      </c>
      <c r="B79" s="8">
        <f>B21</f>
        <v>0</v>
      </c>
      <c r="C79" s="23" t="s">
        <v>16</v>
      </c>
      <c r="D79" s="8">
        <f>D21</f>
        <v>0</v>
      </c>
      <c r="E79" s="23" t="s">
        <v>16</v>
      </c>
      <c r="F79" s="8">
        <f>F21</f>
        <v>0</v>
      </c>
      <c r="G79" s="23" t="s">
        <v>16</v>
      </c>
      <c r="H79" s="8">
        <f>H21</f>
        <v>0</v>
      </c>
      <c r="I79" s="23" t="s">
        <v>16</v>
      </c>
      <c r="J79" s="8">
        <f>J21</f>
        <v>0</v>
      </c>
      <c r="K79" s="24" t="s">
        <v>16</v>
      </c>
    </row>
    <row r="80" spans="1:11" x14ac:dyDescent="0.3">
      <c r="A80" s="7" t="s">
        <v>29</v>
      </c>
      <c r="B80" s="8">
        <v>2.5</v>
      </c>
      <c r="C80" s="23" t="s">
        <v>3</v>
      </c>
      <c r="D80" s="8">
        <v>2.5</v>
      </c>
      <c r="E80" s="23" t="s">
        <v>3</v>
      </c>
      <c r="F80" s="8">
        <v>2.5</v>
      </c>
      <c r="G80" s="23" t="s">
        <v>3</v>
      </c>
      <c r="H80" s="8">
        <v>2.5</v>
      </c>
      <c r="I80" s="23" t="s">
        <v>3</v>
      </c>
      <c r="J80" s="8">
        <v>2.5</v>
      </c>
      <c r="K80" s="24" t="s">
        <v>3</v>
      </c>
    </row>
    <row r="81" spans="1:11" x14ac:dyDescent="0.3">
      <c r="A81" s="7" t="s">
        <v>30</v>
      </c>
      <c r="B81" s="25"/>
      <c r="C81" s="23" t="s">
        <v>3</v>
      </c>
      <c r="D81" s="25"/>
      <c r="E81" s="23" t="s">
        <v>3</v>
      </c>
      <c r="F81" s="23"/>
      <c r="G81" s="23" t="s">
        <v>3</v>
      </c>
      <c r="H81" s="25"/>
      <c r="I81" s="23" t="s">
        <v>3</v>
      </c>
      <c r="J81" s="25"/>
      <c r="K81" s="24" t="s">
        <v>3</v>
      </c>
    </row>
    <row r="82" spans="1:11" ht="14.5" thickBot="1" x14ac:dyDescent="0.35">
      <c r="A82" s="10" t="s">
        <v>31</v>
      </c>
      <c r="B82" s="20"/>
      <c r="C82" s="31" t="s">
        <v>32</v>
      </c>
      <c r="D82" s="20"/>
      <c r="E82" s="31" t="s">
        <v>32</v>
      </c>
      <c r="F82" s="31"/>
      <c r="G82" s="31" t="s">
        <v>32</v>
      </c>
      <c r="H82" s="20"/>
      <c r="I82" s="31" t="s">
        <v>32</v>
      </c>
      <c r="J82" s="20"/>
      <c r="K82" s="32" t="s">
        <v>32</v>
      </c>
    </row>
    <row r="83" spans="1:11" ht="14.5" thickTop="1" x14ac:dyDescent="0.3"/>
  </sheetData>
  <phoneticPr fontId="7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4A05D-7210-44AC-859D-2846F0884F7B}">
  <dimension ref="A1:G52"/>
  <sheetViews>
    <sheetView topLeftCell="A9" workbookViewId="0">
      <selection activeCell="L55" sqref="L55"/>
    </sheetView>
  </sheetViews>
  <sheetFormatPr defaultColWidth="12" defaultRowHeight="14" x14ac:dyDescent="0.3"/>
  <cols>
    <col min="1" max="1" width="24.4140625" customWidth="1"/>
    <col min="2" max="9" width="12.83203125" customWidth="1"/>
  </cols>
  <sheetData>
    <row r="1" spans="1:3" ht="20" x14ac:dyDescent="0.4">
      <c r="A1" s="1" t="s">
        <v>80</v>
      </c>
    </row>
    <row r="3" spans="1:3" ht="17.5" x14ac:dyDescent="0.35">
      <c r="A3" s="2" t="s">
        <v>50</v>
      </c>
    </row>
    <row r="4" spans="1:3" ht="14.5" thickBot="1" x14ac:dyDescent="0.35"/>
    <row r="5" spans="1:3" ht="15" thickTop="1" thickBot="1" x14ac:dyDescent="0.35">
      <c r="A5" s="3" t="s">
        <v>0</v>
      </c>
      <c r="B5" s="3" t="s">
        <v>1</v>
      </c>
      <c r="C5" s="3" t="s">
        <v>2</v>
      </c>
    </row>
    <row r="6" spans="1:3" ht="14.5" thickTop="1" x14ac:dyDescent="0.3">
      <c r="A6" s="38" t="s">
        <v>92</v>
      </c>
      <c r="B6" s="5" t="e">
        <f>SS_Analysis!#REF!</f>
        <v>#REF!</v>
      </c>
      <c r="C6" s="18" t="s">
        <v>8</v>
      </c>
    </row>
    <row r="7" spans="1:3" x14ac:dyDescent="0.3">
      <c r="A7" s="39" t="s">
        <v>82</v>
      </c>
      <c r="B7" s="8">
        <f>SS_Analysis!H22</f>
        <v>0</v>
      </c>
      <c r="C7" s="9" t="s">
        <v>37</v>
      </c>
    </row>
    <row r="8" spans="1:3" x14ac:dyDescent="0.3">
      <c r="A8" s="39" t="s">
        <v>83</v>
      </c>
      <c r="B8" s="8">
        <f>SS_Analysis!H25</f>
        <v>0</v>
      </c>
      <c r="C8" s="9" t="s">
        <v>37</v>
      </c>
    </row>
    <row r="9" spans="1:3" x14ac:dyDescent="0.3">
      <c r="A9" s="39" t="s">
        <v>81</v>
      </c>
      <c r="B9" s="8">
        <f>SS_Analysis!H26</f>
        <v>0</v>
      </c>
      <c r="C9" s="9" t="s">
        <v>37</v>
      </c>
    </row>
    <row r="10" spans="1:3" x14ac:dyDescent="0.3">
      <c r="A10" s="7" t="s">
        <v>51</v>
      </c>
      <c r="B10" s="8">
        <v>0.25</v>
      </c>
      <c r="C10" s="9" t="s">
        <v>52</v>
      </c>
    </row>
    <row r="11" spans="1:3" ht="14.5" thickBot="1" x14ac:dyDescent="0.35">
      <c r="A11" s="10" t="s">
        <v>5</v>
      </c>
      <c r="B11" s="11" t="e">
        <f>SS_Analysis!#REF!</f>
        <v>#REF!</v>
      </c>
      <c r="C11" s="12" t="s">
        <v>6</v>
      </c>
    </row>
    <row r="12" spans="1:3" ht="16" thickTop="1" x14ac:dyDescent="0.35">
      <c r="A12" s="13"/>
    </row>
    <row r="14" spans="1:3" ht="17.5" x14ac:dyDescent="0.35">
      <c r="A14" s="2" t="s">
        <v>53</v>
      </c>
    </row>
    <row r="15" spans="1:3" ht="18" thickBot="1" x14ac:dyDescent="0.4">
      <c r="A15" s="2"/>
    </row>
    <row r="16" spans="1:3" ht="15" thickTop="1" thickBot="1" x14ac:dyDescent="0.35">
      <c r="A16" s="3" t="s">
        <v>0</v>
      </c>
      <c r="B16" s="3" t="s">
        <v>1</v>
      </c>
      <c r="C16" s="3" t="s">
        <v>2</v>
      </c>
    </row>
    <row r="17" spans="1:3" ht="14.5" thickTop="1" x14ac:dyDescent="0.3">
      <c r="A17" s="50" t="s">
        <v>54</v>
      </c>
      <c r="B17" s="51" t="s">
        <v>55</v>
      </c>
      <c r="C17" s="52"/>
    </row>
    <row r="18" spans="1:3" x14ac:dyDescent="0.3">
      <c r="A18" s="53" t="s">
        <v>56</v>
      </c>
      <c r="B18" s="54" t="s">
        <v>57</v>
      </c>
      <c r="C18" s="55"/>
    </row>
    <row r="19" spans="1:3" x14ac:dyDescent="0.3">
      <c r="A19" s="53" t="s">
        <v>58</v>
      </c>
      <c r="B19" s="56"/>
      <c r="C19" s="55" t="s">
        <v>59</v>
      </c>
    </row>
    <row r="20" spans="1:3" x14ac:dyDescent="0.3">
      <c r="A20" s="53" t="s">
        <v>60</v>
      </c>
      <c r="B20" s="56"/>
      <c r="C20" s="55" t="s">
        <v>61</v>
      </c>
    </row>
    <row r="21" spans="1:3" x14ac:dyDescent="0.3">
      <c r="A21" s="53" t="s">
        <v>62</v>
      </c>
      <c r="B21" s="56"/>
      <c r="C21" s="55" t="s">
        <v>63</v>
      </c>
    </row>
    <row r="22" spans="1:3" x14ac:dyDescent="0.3">
      <c r="A22" s="53" t="s">
        <v>64</v>
      </c>
      <c r="B22" s="56"/>
      <c r="C22" s="55" t="s">
        <v>59</v>
      </c>
    </row>
    <row r="23" spans="1:3" x14ac:dyDescent="0.3">
      <c r="A23" s="53" t="s">
        <v>65</v>
      </c>
      <c r="B23" s="56"/>
      <c r="C23" s="55" t="s">
        <v>61</v>
      </c>
    </row>
    <row r="24" spans="1:3" x14ac:dyDescent="0.3">
      <c r="A24" s="53" t="s">
        <v>66</v>
      </c>
      <c r="B24" s="57"/>
      <c r="C24" s="55" t="s">
        <v>67</v>
      </c>
    </row>
    <row r="25" spans="1:3" x14ac:dyDescent="0.3">
      <c r="A25" s="53" t="s">
        <v>68</v>
      </c>
      <c r="B25" s="57"/>
      <c r="C25" s="55" t="s">
        <v>69</v>
      </c>
    </row>
    <row r="26" spans="1:3" x14ac:dyDescent="0.3">
      <c r="A26" s="58" t="s">
        <v>70</v>
      </c>
      <c r="B26" s="59"/>
      <c r="C26" s="55"/>
    </row>
    <row r="27" spans="1:3" ht="14.5" thickBot="1" x14ac:dyDescent="0.35">
      <c r="A27" s="60" t="s">
        <v>71</v>
      </c>
      <c r="B27" s="61">
        <v>0.65</v>
      </c>
      <c r="C27" s="62"/>
    </row>
    <row r="28" spans="1:3" ht="14.5" thickTop="1" x14ac:dyDescent="0.3"/>
    <row r="30" spans="1:3" ht="17.5" x14ac:dyDescent="0.35">
      <c r="A30" s="2" t="s">
        <v>72</v>
      </c>
    </row>
    <row r="31" spans="1:3" ht="14.5" thickBot="1" x14ac:dyDescent="0.35"/>
    <row r="32" spans="1:3" ht="15" thickTop="1" thickBot="1" x14ac:dyDescent="0.35">
      <c r="A32" s="3" t="s">
        <v>0</v>
      </c>
      <c r="B32" s="3" t="s">
        <v>1</v>
      </c>
      <c r="C32" s="3" t="s">
        <v>7</v>
      </c>
    </row>
    <row r="33" spans="1:7" ht="14.5" thickTop="1" x14ac:dyDescent="0.3">
      <c r="A33" s="50" t="s">
        <v>73</v>
      </c>
      <c r="B33" s="63">
        <v>0.1</v>
      </c>
      <c r="C33" s="64" t="s">
        <v>123</v>
      </c>
      <c r="G33" s="65"/>
    </row>
    <row r="34" spans="1:7" x14ac:dyDescent="0.3">
      <c r="A34" s="66" t="s">
        <v>74</v>
      </c>
      <c r="B34" s="67"/>
      <c r="C34" s="68" t="s">
        <v>124</v>
      </c>
      <c r="G34" s="65"/>
    </row>
    <row r="35" spans="1:7" x14ac:dyDescent="0.3">
      <c r="A35" s="66" t="s">
        <v>75</v>
      </c>
      <c r="B35" s="69"/>
      <c r="C35" s="68" t="s">
        <v>125</v>
      </c>
      <c r="F35" s="70"/>
      <c r="G35" s="65"/>
    </row>
    <row r="36" spans="1:7" ht="15.5" x14ac:dyDescent="0.35">
      <c r="A36" s="66" t="s">
        <v>76</v>
      </c>
      <c r="B36" s="71" t="str">
        <f>IF(B35&lt;=B10,"Yes","No")</f>
        <v>Yes</v>
      </c>
      <c r="C36" s="68"/>
      <c r="E36" s="13"/>
      <c r="F36" s="13"/>
      <c r="G36" s="13"/>
    </row>
    <row r="37" spans="1:7" x14ac:dyDescent="0.3">
      <c r="A37" s="66" t="s">
        <v>77</v>
      </c>
      <c r="B37" s="67"/>
      <c r="C37" s="68" t="s">
        <v>126</v>
      </c>
    </row>
    <row r="38" spans="1:7" x14ac:dyDescent="0.3">
      <c r="A38" s="73" t="s">
        <v>85</v>
      </c>
      <c r="B38" s="72">
        <v>0.5</v>
      </c>
      <c r="C38" s="68" t="s">
        <v>61</v>
      </c>
    </row>
    <row r="39" spans="1:7" x14ac:dyDescent="0.3">
      <c r="A39" s="73" t="s">
        <v>84</v>
      </c>
      <c r="B39" s="67"/>
      <c r="C39" s="68" t="s">
        <v>127</v>
      </c>
    </row>
    <row r="40" spans="1:7" x14ac:dyDescent="0.3">
      <c r="A40" s="73" t="s">
        <v>86</v>
      </c>
      <c r="B40" s="72">
        <v>5</v>
      </c>
      <c r="C40" s="68"/>
    </row>
    <row r="41" spans="1:7" x14ac:dyDescent="0.3">
      <c r="A41" s="73" t="s">
        <v>87</v>
      </c>
      <c r="B41" s="67"/>
      <c r="C41" s="68" t="s">
        <v>128</v>
      </c>
    </row>
    <row r="42" spans="1:7" ht="14.5" thickBot="1" x14ac:dyDescent="0.35">
      <c r="A42" s="75" t="s">
        <v>78</v>
      </c>
      <c r="B42" s="76"/>
      <c r="C42" s="77" t="s">
        <v>129</v>
      </c>
    </row>
    <row r="43" spans="1:7" ht="14.5" thickTop="1" x14ac:dyDescent="0.3">
      <c r="B43" s="65"/>
    </row>
    <row r="45" spans="1:7" ht="17.5" x14ac:dyDescent="0.35">
      <c r="A45" s="2" t="s">
        <v>88</v>
      </c>
    </row>
    <row r="46" spans="1:7" ht="14.5" thickBot="1" x14ac:dyDescent="0.35"/>
    <row r="47" spans="1:7" ht="15" thickTop="1" thickBot="1" x14ac:dyDescent="0.35">
      <c r="A47" s="3" t="s">
        <v>0</v>
      </c>
      <c r="B47" s="3" t="s">
        <v>1</v>
      </c>
      <c r="C47" s="3" t="s">
        <v>7</v>
      </c>
    </row>
    <row r="48" spans="1:7" ht="14.5" thickTop="1" x14ac:dyDescent="0.3">
      <c r="A48" s="73" t="s">
        <v>89</v>
      </c>
      <c r="B48" s="67"/>
      <c r="C48" s="68" t="s">
        <v>79</v>
      </c>
    </row>
    <row r="49" spans="1:3" x14ac:dyDescent="0.3">
      <c r="A49" s="66" t="s">
        <v>75</v>
      </c>
      <c r="B49" s="80"/>
      <c r="C49" s="55" t="s">
        <v>52</v>
      </c>
    </row>
    <row r="50" spans="1:3" x14ac:dyDescent="0.3">
      <c r="A50" s="73" t="s">
        <v>130</v>
      </c>
      <c r="B50" s="80"/>
      <c r="C50" s="55" t="s">
        <v>52</v>
      </c>
    </row>
    <row r="51" spans="1:3" ht="14.5" thickBot="1" x14ac:dyDescent="0.35">
      <c r="A51" s="74" t="s">
        <v>90</v>
      </c>
      <c r="B51" s="78"/>
      <c r="C51" s="79" t="s">
        <v>91</v>
      </c>
    </row>
    <row r="52" spans="1:3" ht="14.5" thickTop="1" x14ac:dyDescent="0.3"/>
  </sheetData>
  <phoneticPr fontId="7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b75eb9d1-7479-4f8a-9240-cc5b19dbbc64}" enabled="1" method="Standard" siteId="{d1b36e95-0d50-42e9-958f-b63fa906beaa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SS_Analysis</vt:lpstr>
      <vt:lpstr>Inductor_Design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Duleepa Thrimawithana</dc:creator>
  <cp:lastModifiedBy>Qiyu Chen</cp:lastModifiedBy>
  <dcterms:created xsi:type="dcterms:W3CDTF">2025-12-20T08:56:10Z</dcterms:created>
  <dcterms:modified xsi:type="dcterms:W3CDTF">2026-08-20T21:58:19Z</dcterms:modified>
</cp:coreProperties>
</file>