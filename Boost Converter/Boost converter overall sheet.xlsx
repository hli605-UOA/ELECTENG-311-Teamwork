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tmar904_uoa_auckland_ac_nz/Documents/Desktop/"/>
    </mc:Choice>
  </mc:AlternateContent>
  <xr:revisionPtr revIDLastSave="0" documentId="8_{336D9599-26A0-45E4-942C-9462A521186A}" xr6:coauthVersionLast="47" xr6:coauthVersionMax="47" xr10:uidLastSave="{00000000-0000-0000-0000-000000000000}"/>
  <bookViews>
    <workbookView xWindow="2655" yWindow="750" windowWidth="19425" windowHeight="13170" activeTab="3" xr2:uid="{0EA872C3-4804-43CB-9F0B-5F94DB7B4351}"/>
  </bookViews>
  <sheets>
    <sheet name="SS_Analysis" sheetId="1" r:id="rId1"/>
    <sheet name="Plots " sheetId="3" r:id="rId2"/>
    <sheet name="BOM" sheetId="4" r:id="rId3"/>
    <sheet name="Inductor_Desig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2" l="1"/>
  <c r="B43" i="2"/>
  <c r="B25" i="2"/>
  <c r="D31" i="3" l="1"/>
  <c r="D32" i="3"/>
  <c r="D33" i="3"/>
  <c r="D34" i="3"/>
  <c r="D35" i="3"/>
  <c r="D30" i="3"/>
  <c r="D23" i="3"/>
  <c r="D24" i="3"/>
  <c r="D25" i="3"/>
  <c r="D26" i="3"/>
  <c r="D27" i="3"/>
  <c r="D22" i="3"/>
  <c r="D15" i="3"/>
  <c r="D16" i="3"/>
  <c r="D17" i="3"/>
  <c r="D18" i="3"/>
  <c r="D19" i="3"/>
  <c r="D14" i="3"/>
  <c r="D5" i="3"/>
  <c r="D7" i="3"/>
  <c r="D6" i="3"/>
  <c r="D8" i="3"/>
  <c r="D9" i="3"/>
  <c r="D10" i="3"/>
  <c r="J45" i="1"/>
  <c r="J46" i="1"/>
  <c r="J51" i="1"/>
  <c r="J56" i="1" s="1"/>
  <c r="J54" i="1"/>
  <c r="J55" i="1"/>
  <c r="D45" i="1"/>
  <c r="D47" i="1" s="1"/>
  <c r="J64" i="1"/>
  <c r="F64" i="1"/>
  <c r="B67" i="1"/>
  <c r="L67" i="1"/>
  <c r="J67" i="1"/>
  <c r="H67" i="1"/>
  <c r="F67" i="1"/>
  <c r="D67" i="1"/>
  <c r="B24" i="1"/>
  <c r="L62" i="1"/>
  <c r="J62" i="1"/>
  <c r="H62" i="1"/>
  <c r="F62" i="1"/>
  <c r="D62" i="1"/>
  <c r="B62" i="1"/>
  <c r="J44" i="1"/>
  <c r="J63" i="1" s="1"/>
  <c r="L55" i="1"/>
  <c r="H55" i="1"/>
  <c r="F55" i="1"/>
  <c r="D55" i="1"/>
  <c r="B55" i="1"/>
  <c r="L54" i="1"/>
  <c r="H54" i="1"/>
  <c r="F54" i="1"/>
  <c r="D54" i="1"/>
  <c r="B54" i="1"/>
  <c r="L51" i="1"/>
  <c r="H51" i="1"/>
  <c r="F51" i="1"/>
  <c r="L46" i="1"/>
  <c r="H46" i="1"/>
  <c r="F46" i="1"/>
  <c r="L45" i="1"/>
  <c r="H45" i="1"/>
  <c r="H47" i="1" s="1"/>
  <c r="F45" i="1"/>
  <c r="F47" i="1" s="1"/>
  <c r="B45" i="1"/>
  <c r="B47" i="1" s="1"/>
  <c r="L44" i="1"/>
  <c r="L63" i="1" s="1"/>
  <c r="H44" i="1"/>
  <c r="F44" i="1"/>
  <c r="F105" i="1" s="1"/>
  <c r="B33" i="1"/>
  <c r="B32" i="1"/>
  <c r="B23" i="1"/>
  <c r="B22" i="1"/>
  <c r="B20" i="1"/>
  <c r="B19" i="1"/>
  <c r="B18" i="1"/>
  <c r="B17" i="1"/>
  <c r="J47" i="1" l="1"/>
  <c r="J53" i="1" s="1"/>
  <c r="J48" i="1"/>
  <c r="J49" i="1"/>
  <c r="J52" i="1"/>
  <c r="J50" i="1"/>
  <c r="H56" i="1"/>
  <c r="L56" i="1"/>
  <c r="L64" i="1"/>
  <c r="F52" i="1"/>
  <c r="H52" i="1"/>
  <c r="F56" i="1"/>
  <c r="H50" i="1"/>
  <c r="B34" i="1"/>
  <c r="F49" i="1"/>
  <c r="L47" i="1"/>
  <c r="L53" i="1" s="1"/>
  <c r="H53" i="1"/>
  <c r="F50" i="1"/>
  <c r="F53" i="1"/>
  <c r="L48" i="1"/>
  <c r="L52" i="1"/>
  <c r="H49" i="1"/>
  <c r="B11" i="2"/>
  <c r="B37" i="2" s="1"/>
  <c r="B38" i="2" s="1"/>
  <c r="B39" i="2" s="1"/>
  <c r="B6" i="2"/>
  <c r="B34" i="2" s="1"/>
  <c r="B41" i="2" s="1"/>
  <c r="L49" i="1" l="1"/>
  <c r="L50" i="1"/>
  <c r="D43" i="1"/>
  <c r="B43" i="1"/>
  <c r="F63" i="1"/>
  <c r="D64" i="1"/>
  <c r="J105" i="1"/>
  <c r="H63" i="1"/>
  <c r="B44" i="1" l="1"/>
  <c r="B46" i="1"/>
  <c r="B48" i="1" s="1"/>
  <c r="B51" i="1"/>
  <c r="D46" i="1"/>
  <c r="D51" i="1"/>
  <c r="D44" i="1"/>
  <c r="D63" i="1" s="1"/>
  <c r="B64" i="1"/>
  <c r="B7" i="2"/>
  <c r="F48" i="1"/>
  <c r="H64" i="1"/>
  <c r="H105" i="1"/>
  <c r="D105" i="1" l="1"/>
  <c r="B105" i="1"/>
  <c r="B63" i="1"/>
  <c r="D49" i="1"/>
  <c r="D50" i="1"/>
  <c r="D52" i="1"/>
  <c r="D56" i="1"/>
  <c r="D53" i="1"/>
  <c r="B56" i="1"/>
  <c r="B53" i="1"/>
  <c r="B50" i="1"/>
  <c r="B49" i="1"/>
  <c r="B52" i="1"/>
  <c r="H48" i="1"/>
  <c r="B9" i="2"/>
  <c r="D48" i="1"/>
  <c r="B8" i="2"/>
  <c r="B35" i="2" s="1"/>
  <c r="B36" i="2" s="1"/>
  <c r="B40" i="2" l="1"/>
  <c r="B42" i="2"/>
</calcChain>
</file>

<file path=xl/sharedStrings.xml><?xml version="1.0" encoding="utf-8"?>
<sst xmlns="http://schemas.openxmlformats.org/spreadsheetml/2006/main" count="688" uniqueCount="385">
  <si>
    <t>Parameter</t>
  </si>
  <si>
    <t>Value</t>
  </si>
  <si>
    <t>Unit</t>
  </si>
  <si>
    <t>V</t>
  </si>
  <si>
    <t>W</t>
  </si>
  <si>
    <t>Operating fs</t>
  </si>
  <si>
    <t>kHz</t>
  </si>
  <si>
    <t>Unit (eq)</t>
  </si>
  <si>
    <t>µH</t>
  </si>
  <si>
    <t>Evaluating Output Capacitor (Theoretical)</t>
  </si>
  <si>
    <t>Max Vo Ripple</t>
  </si>
  <si>
    <t>Min Co</t>
  </si>
  <si>
    <t>Selected Co</t>
  </si>
  <si>
    <t>Evaluating Steady-State Operating Conditions (Theoretical)</t>
  </si>
  <si>
    <t>Vout</t>
  </si>
  <si>
    <t>Pout</t>
  </si>
  <si>
    <t>RLoad</t>
  </si>
  <si>
    <t>Operating D</t>
  </si>
  <si>
    <t>Validating Steady-State Operating Conditions (Open-Loop Simulations)</t>
  </si>
  <si>
    <t xml:space="preserve">Ohms </t>
  </si>
  <si>
    <t xml:space="preserve">A </t>
  </si>
  <si>
    <t>UC3843 &amp; PI Controller Parameters (Theoretical)</t>
  </si>
  <si>
    <t>Vref for 5V Output</t>
  </si>
  <si>
    <t>Ohms</t>
  </si>
  <si>
    <t>nF</t>
  </si>
  <si>
    <t xml:space="preserve">kOhms </t>
  </si>
  <si>
    <t>Rva</t>
  </si>
  <si>
    <t>Rvb</t>
  </si>
  <si>
    <t>kOhms</t>
  </si>
  <si>
    <t>Selected Kp</t>
  </si>
  <si>
    <t>Selected Ki</t>
  </si>
  <si>
    <t>Validating PI Controller Operation (Closed-Loop Simulations)</t>
  </si>
  <si>
    <t>Vref</t>
  </si>
  <si>
    <t>Steady State Vout</t>
  </si>
  <si>
    <t>Settling Time (+/- 5%)</t>
  </si>
  <si>
    <t>ms</t>
  </si>
  <si>
    <t>Max Vin(avg)</t>
  </si>
  <si>
    <t>Min Vin(avg)</t>
  </si>
  <si>
    <t>Nominal Vout(avg)</t>
  </si>
  <si>
    <t>Vin</t>
  </si>
  <si>
    <t>Min Operating D</t>
  </si>
  <si>
    <t>Max Operating D</t>
  </si>
  <si>
    <t>A</t>
  </si>
  <si>
    <t>D for Max L for CCM</t>
  </si>
  <si>
    <t>Min L for CCM</t>
  </si>
  <si>
    <t>dIL</t>
  </si>
  <si>
    <t>Iin(avg) = IL(avg)</t>
  </si>
  <si>
    <t>Iin(rms) = IL(rms)</t>
  </si>
  <si>
    <t>Iin(pk) = IL(pk)</t>
  </si>
  <si>
    <t>Iout(avg) = ID(avg)</t>
  </si>
  <si>
    <t>IC(rms)</t>
  </si>
  <si>
    <t>ISw(rms)</t>
  </si>
  <si>
    <t>VSw(max)</t>
  </si>
  <si>
    <t>VD(max)</t>
  </si>
  <si>
    <t>dVout</t>
  </si>
  <si>
    <t>Evaluating Key Inductor Parameters for CCM (Theoretical)</t>
  </si>
  <si>
    <t>Max Pout(avg)</t>
  </si>
  <si>
    <t>Min Pout(avg)</t>
  </si>
  <si>
    <t>Boost Conveter Design - Part I</t>
  </si>
  <si>
    <t>Max IL(avg) = Iin(avg)</t>
  </si>
  <si>
    <t>Min IL(avg) = Iin(avg)</t>
  </si>
  <si>
    <t>Transformer Design Specifications</t>
  </si>
  <si>
    <t>Max Bmax</t>
  </si>
  <si>
    <t>T</t>
  </si>
  <si>
    <t>Core, Former &amp; Magnet Wire Details</t>
  </si>
  <si>
    <t>Core type</t>
  </si>
  <si>
    <t>EFD20</t>
  </si>
  <si>
    <t>Core material</t>
  </si>
  <si>
    <t>N97</t>
  </si>
  <si>
    <t>Ae</t>
  </si>
  <si>
    <t>mm^2</t>
  </si>
  <si>
    <t>le</t>
  </si>
  <si>
    <t>mm</t>
  </si>
  <si>
    <t>Ve</t>
  </si>
  <si>
    <t>mm^3</t>
  </si>
  <si>
    <t>AN</t>
  </si>
  <si>
    <t>ln</t>
  </si>
  <si>
    <t>Wire ρ</t>
  </si>
  <si>
    <t>Ωm</t>
  </si>
  <si>
    <t>µ0</t>
  </si>
  <si>
    <t>H/m</t>
  </si>
  <si>
    <t>µe</t>
  </si>
  <si>
    <t>Achievable Kf</t>
  </si>
  <si>
    <t>Evaluating Inductor Parameters</t>
  </si>
  <si>
    <t>Selected lg</t>
  </si>
  <si>
    <t>Np</t>
  </si>
  <si>
    <t>Bmax</t>
  </si>
  <si>
    <t>Bmax &lt; Max Bmax</t>
  </si>
  <si>
    <t>Skin Depth</t>
  </si>
  <si>
    <t xml:space="preserve">Max Rdc Loss in Lp </t>
  </si>
  <si>
    <t>uH</t>
  </si>
  <si>
    <t>Inductor Design - Part II</t>
  </si>
  <si>
    <t>Max RMS IL</t>
  </si>
  <si>
    <t>Max IL(avg)</t>
  </si>
  <si>
    <t>Max IL(pk)</t>
  </si>
  <si>
    <t>Wire Acu</t>
  </si>
  <si>
    <t>Selected Wire Diameter</t>
  </si>
  <si>
    <t>Parallel Wires</t>
  </si>
  <si>
    <t>Rdc of Inductor</t>
  </si>
  <si>
    <t>Experimental Results</t>
  </si>
  <si>
    <t>Inductance</t>
  </si>
  <si>
    <t>Rac</t>
  </si>
  <si>
    <t>mOhm</t>
  </si>
  <si>
    <t>Selected L</t>
  </si>
  <si>
    <t>(1-1)</t>
  </si>
  <si>
    <t>(1-2)</t>
  </si>
  <si>
    <t>A (1-3)</t>
  </si>
  <si>
    <t>A (1-4)</t>
  </si>
  <si>
    <t>(1-5)</t>
  </si>
  <si>
    <t>µH (1-6)</t>
  </si>
  <si>
    <t>µF (1-7)</t>
  </si>
  <si>
    <t>µF</t>
  </si>
  <si>
    <t>Ohms (1-8)</t>
  </si>
  <si>
    <t>(1-9)</t>
  </si>
  <si>
    <t>A (1-10)</t>
  </si>
  <si>
    <t>A (1-11)</t>
  </si>
  <si>
    <t>A (1-12)</t>
  </si>
  <si>
    <t>A (1-13)</t>
  </si>
  <si>
    <t>A (1-14)</t>
  </si>
  <si>
    <t>A (1-15)</t>
  </si>
  <si>
    <t>A (1-16)</t>
  </si>
  <si>
    <t>V (1-17)</t>
  </si>
  <si>
    <t>V (1-18)</t>
  </si>
  <si>
    <t>mV (1-19)</t>
  </si>
  <si>
    <t>Rop1</t>
  </si>
  <si>
    <t>Rop2</t>
  </si>
  <si>
    <t>Min PI Output (Vpi_in)</t>
  </si>
  <si>
    <t>Max PI Output (Vpi_in)</t>
  </si>
  <si>
    <t xml:space="preserve">Cvb </t>
  </si>
  <si>
    <t xml:space="preserve">Ri </t>
  </si>
  <si>
    <t xml:space="preserve">Rrt </t>
  </si>
  <si>
    <t xml:space="preserve">Cct </t>
  </si>
  <si>
    <t xml:space="preserve">Rg </t>
  </si>
  <si>
    <t>Ria</t>
  </si>
  <si>
    <t>Rib</t>
  </si>
  <si>
    <t>Cib</t>
  </si>
  <si>
    <t>Ohms (1-20)</t>
  </si>
  <si>
    <t>kOhms (1-21)</t>
  </si>
  <si>
    <t>kOhms (1-22)</t>
  </si>
  <si>
    <t>pF (1-23)</t>
  </si>
  <si>
    <t>kOhms (1-24)</t>
  </si>
  <si>
    <t>kOhms (1-25)</t>
  </si>
  <si>
    <t>pF (1-26)</t>
  </si>
  <si>
    <t>Boost Design Specifications</t>
  </si>
  <si>
    <t xml:space="preserve">mm </t>
  </si>
  <si>
    <t>Turns (1-1)</t>
  </si>
  <si>
    <t>T (1-2)</t>
  </si>
  <si>
    <t>mm (1-3)</t>
  </si>
  <si>
    <t>mm^2 (1-4)</t>
  </si>
  <si>
    <t>mOhms (1-5)</t>
  </si>
  <si>
    <t>Rdc</t>
  </si>
  <si>
    <t>## 1 - minVin/Vout</t>
  </si>
  <si>
    <t>## 1 - maxVin/Vout</t>
  </si>
  <si>
    <t>##  maxP/minVin</t>
  </si>
  <si>
    <t>## minP/maxVin</t>
  </si>
  <si>
    <t>## 0.3 &lt; 1/3 &lt;0.5</t>
  </si>
  <si>
    <t>Max Load R</t>
  </si>
  <si>
    <t>Min Load R</t>
  </si>
  <si>
    <t>## Vo^2/Pmin</t>
  </si>
  <si>
    <t>## Vo^2/Pmax</t>
  </si>
  <si>
    <t>## (Rloadmax*D*(1-D)^2)/2*fs</t>
  </si>
  <si>
    <t>MinL meaning the min value we can choose - the max value the circuit will reach</t>
  </si>
  <si>
    <t>Max Iout</t>
  </si>
  <si>
    <t>Min Iout</t>
  </si>
  <si>
    <t>## Pout/Vout</t>
  </si>
  <si>
    <t>## （Ioutmax*Dmax)/fs*ripple</t>
  </si>
  <si>
    <t>## Vout^2/Pout</t>
  </si>
  <si>
    <t>##1 - Vin/Vout</t>
  </si>
  <si>
    <t>## Pout/Vin</t>
  </si>
  <si>
    <t>## Vin*D)/(L*fs</t>
  </si>
  <si>
    <t>CCM Achieved</t>
  </si>
  <si>
    <t>avg + delta/2</t>
  </si>
  <si>
    <t>sqrt(avg^2+delta^2/12)</t>
  </si>
  <si>
    <t>Pout/Vout</t>
  </si>
  <si>
    <t>sqrt(D(Iavg^2 + deltaI ^2/12))</t>
  </si>
  <si>
    <t>only work in D period</t>
  </si>
  <si>
    <t>sqrt(Iout^2*D/1-D + (1-D)deltaI^2/12)</t>
  </si>
  <si>
    <t>VSW max = Vout</t>
  </si>
  <si>
    <t>VD max = Vout</t>
  </si>
  <si>
    <t>not sure for these 2</t>
  </si>
  <si>
    <t>Iout D/Fs Co</t>
  </si>
  <si>
    <t xml:space="preserve">V </t>
  </si>
  <si>
    <t>Unit(eq)</t>
  </si>
  <si>
    <t>This column is to simulate the worst case Inductance Lmin</t>
  </si>
  <si>
    <t>Vout (mean)</t>
  </si>
  <si>
    <t>Pout (rms)</t>
  </si>
  <si>
    <t>Theo VS Sim</t>
  </si>
  <si>
    <t>Operating Point</t>
  </si>
  <si>
    <t>Theo Vout</t>
  </si>
  <si>
    <t>PLECS Vout (Open loop)</t>
  </si>
  <si>
    <t>2.5V, 0.5W</t>
  </si>
  <si>
    <t>3.33V, 0.5W</t>
  </si>
  <si>
    <t>3.5V, 0.5W</t>
  </si>
  <si>
    <t>2.5V, 5W</t>
  </si>
  <si>
    <t>3.33V, 5W</t>
  </si>
  <si>
    <t>3.5V, 5W</t>
  </si>
  <si>
    <t>Peak Inductor</t>
  </si>
  <si>
    <t>Theo IL(pk)</t>
  </si>
  <si>
    <t>PLECS IL(pk) (Open loop)</t>
  </si>
  <si>
    <t>3.33V, 50Ω</t>
  </si>
  <si>
    <t>3.5V, 50Ω</t>
  </si>
  <si>
    <t>2.5V, 5Ω</t>
  </si>
  <si>
    <t>3.33V, 5Ω</t>
  </si>
  <si>
    <t>3.5V, 5Ω</t>
  </si>
  <si>
    <t>2.5V, 50Ω</t>
  </si>
  <si>
    <t>Theo IL(rms)</t>
  </si>
  <si>
    <t>PLECS IL(rms) (Open loop)</t>
  </si>
  <si>
    <t>Theo Vripple</t>
  </si>
  <si>
    <t>PLECS Vripple (Open loop)</t>
  </si>
  <si>
    <t>Error %</t>
  </si>
  <si>
    <t>Boost Converter Stage</t>
  </si>
  <si>
    <t>L1</t>
  </si>
  <si>
    <t>Q1</t>
  </si>
  <si>
    <t>D1</t>
  </si>
  <si>
    <t>R5</t>
  </si>
  <si>
    <t>R2</t>
  </si>
  <si>
    <t>R3</t>
  </si>
  <si>
    <t>Custom wound Inductor</t>
  </si>
  <si>
    <t>Main boost energy storage</t>
  </si>
  <si>
    <t>N-channel MOSFET</t>
  </si>
  <si>
    <t>switching for 100khz</t>
  </si>
  <si>
    <t>Schottky diode</t>
  </si>
  <si>
    <t>boost rectifier diode</t>
  </si>
  <si>
    <t>shunt resistor</t>
  </si>
  <si>
    <t>Measures mosfet and inductor current for feedback</t>
  </si>
  <si>
    <t>MOSFET gate resistor</t>
  </si>
  <si>
    <t>MOSFET gate sourse pull down resistor</t>
  </si>
  <si>
    <t>Controls gate switching speed</t>
  </si>
  <si>
    <t>Keeps MOSFET OFF when gate is undriven</t>
  </si>
  <si>
    <t>C1</t>
  </si>
  <si>
    <t>C3,C4</t>
  </si>
  <si>
    <t>C2</t>
  </si>
  <si>
    <t>C5,C6</t>
  </si>
  <si>
    <t>Bulk polarized input capacitor</t>
  </si>
  <si>
    <t>Decoupling Capacitor</t>
  </si>
  <si>
    <t>reduces low-frequency input ripple</t>
  </si>
  <si>
    <t>Output Capacitor</t>
  </si>
  <si>
    <t>Stores Energy and reduces output voltage ripple</t>
  </si>
  <si>
    <t>High frequency filtering, provide low impedance path for switching frequency  noise</t>
  </si>
  <si>
    <t>UC3843 PWM Controller</t>
  </si>
  <si>
    <t>Purpose</t>
  </si>
  <si>
    <t>Type</t>
  </si>
  <si>
    <t>Current density J</t>
  </si>
  <si>
    <t>A/mm^2</t>
  </si>
  <si>
    <t>IRFZ46NPBF</t>
  </si>
  <si>
    <t>MOSFET</t>
  </si>
  <si>
    <t>N-Channel 55 V 53A (Ta)</t>
  </si>
  <si>
    <t>TO220</t>
  </si>
  <si>
    <t>Digikey</t>
  </si>
  <si>
    <t>IRFZ46NPBF-ND</t>
  </si>
  <si>
    <t>SSA34-E3/61T</t>
  </si>
  <si>
    <t>DIODE SCHOTTKY 40V 3A DO214</t>
  </si>
  <si>
    <t>DO214</t>
  </si>
  <si>
    <t>SSA34-E3/61TGITR-ND</t>
  </si>
  <si>
    <t>Current density without Np</t>
  </si>
  <si>
    <t>https://www.digikey.com/en/products/detail/riedon-products-by-bourns/UB5C-0R33F1/2176622</t>
  </si>
  <si>
    <t>Bulk electrolytic capacitors - choice 2</t>
  </si>
  <si>
    <t>UCL1V221MNL1GS</t>
  </si>
  <si>
    <t>220 µF 35 V Alum, 80mOhm @ 100kHz 2000 Hrs @ 105°C</t>
  </si>
  <si>
    <t>CR08</t>
  </si>
  <si>
    <t>493-3957-2-ND</t>
  </si>
  <si>
    <t>mW (1-6)</t>
  </si>
  <si>
    <t>Section</t>
  </si>
  <si>
    <t>Schematic refs</t>
  </si>
  <si>
    <t>Generic component type</t>
  </si>
  <si>
    <t>1. Boost power stage</t>
  </si>
  <si>
    <t>Power inductor / custom wound inductor</t>
  </si>
  <si>
    <t>Main boost energy-storage inductor</t>
  </si>
  <si>
    <t>N-channel power MOSFET</t>
  </si>
  <si>
    <t>Main 100 kHz switching device</t>
  </si>
  <si>
    <t>Power Schottky diode</t>
  </si>
  <si>
    <t>Boost rectifier diode</t>
  </si>
  <si>
    <t>Low-value current-sense / shunt resistor</t>
  </si>
  <si>
    <t>Measures MOSFET/inductor current</t>
  </si>
  <si>
    <t>Controls gate switching speed/ringing</t>
  </si>
  <si>
    <t>MOSFET gate-source pull-down resistor</t>
  </si>
  <si>
    <t>2. Input/output power capacitors</t>
  </si>
  <si>
    <t>Low-frequency input energy buffering</t>
  </si>
  <si>
    <t>C3, C4</t>
  </si>
  <si>
    <t>Ceramic input bypass/ripple capacitors</t>
  </si>
  <si>
    <t>High-frequency switching current filtering</t>
  </si>
  <si>
    <t>Bulk polarized output capacitor</t>
  </si>
  <si>
    <t>Output energy storage / low-frequency ripple</t>
  </si>
  <si>
    <t>C5, C6</t>
  </si>
  <si>
    <t>Ceramic output bypass/ripple capacitors</t>
  </si>
  <si>
    <t>High-frequency output ripple filtering</t>
  </si>
  <si>
    <t>3. UC3843 PWM controller</t>
  </si>
  <si>
    <t>U1</t>
  </si>
  <si>
    <t>UC3843 current-mode PWM controller IC</t>
  </si>
  <si>
    <t>Generates MOSFET gate PWM</t>
  </si>
  <si>
    <t>C15, C16</t>
  </si>
  <si>
    <t>10 V supply decoupling/bulk capacitors</t>
  </si>
  <si>
    <t>UC3843 VCC decoupling</t>
  </si>
  <si>
    <t>C10</t>
  </si>
  <si>
    <t>Ceramic VREF decoupling capacitor</t>
  </si>
  <si>
    <t>Stabilises UC3843 5 V reference</t>
  </si>
  <si>
    <t>4. UC3843 oscillator / switching-frequency setting</t>
  </si>
  <si>
    <t>R18</t>
  </si>
  <si>
    <t>Timing resistor</t>
  </si>
  <si>
    <t>Sets UC3843 oscillator frequency</t>
  </si>
  <si>
    <t>C11</t>
  </si>
  <si>
    <t>Timing capacitor</t>
  </si>
  <si>
    <t>5. Current-feedback signal conditioning</t>
  </si>
  <si>
    <t>U2B</t>
  </si>
  <si>
    <t>Op-amp current-sense amplifier / signal conditioner</t>
  </si>
  <si>
    <t>Amplifies/conditions voltage from R5</t>
  </si>
  <si>
    <t>R11, R12, R14</t>
  </si>
  <si>
    <t>Signal-conditioning resistors</t>
  </si>
  <si>
    <t>Input scaling/filtering</t>
  </si>
  <si>
    <t>R6, R8</t>
  </si>
  <si>
    <t>Op-amp gain-setting resistors</t>
  </si>
  <si>
    <t>Set current feedback amplifier gain</t>
  </si>
  <si>
    <t>C7, C8</t>
  </si>
  <si>
    <t>Small-signal ceramic filter/compensation capacitors</t>
  </si>
  <si>
    <t>Remove switching noise / control bandwidth</t>
  </si>
  <si>
    <t>R10</t>
  </si>
  <si>
    <t>Slope-compensation injection resistor</t>
  </si>
  <si>
    <t>Adds slope-compensation ramp to current feedback</t>
  </si>
  <si>
    <t>6. Slope-compensation generator</t>
  </si>
  <si>
    <t>Q2</t>
  </si>
  <si>
    <t>Small-signal BJT transistor</t>
  </si>
  <si>
    <t>Generates/conditions oscillator ramp</t>
  </si>
  <si>
    <t>D2</t>
  </si>
  <si>
    <t>Small-signal switching diode</t>
  </si>
  <si>
    <t>Directs slope-compensation signal</t>
  </si>
  <si>
    <t>R23</t>
  </si>
  <si>
    <t>Small-signal resistor</t>
  </si>
  <si>
    <t>Bias/discharge path</t>
  </si>
  <si>
    <t>C13</t>
  </si>
  <si>
    <t>Small-signal ceramic capacitor</t>
  </si>
  <si>
    <t>AC coupling / ramp shaping</t>
  </si>
  <si>
    <t>7. MCU PI → UC3843 control interface</t>
  </si>
  <si>
    <t>R17, R19, R20, R21</t>
  </si>
  <si>
    <t>Small-signal / control-loop resistors</t>
  </si>
  <si>
    <t>Scale and interface MCU PI command with UC3843</t>
  </si>
  <si>
    <t>C9</t>
  </si>
  <si>
    <t>Compensation capacitor</t>
  </si>
  <si>
    <t>UC3843 COMP/VFB control-loop compensation</t>
  </si>
  <si>
    <t>C12</t>
  </si>
  <si>
    <t>Ceramic RC-filter capacitor</t>
  </si>
  <si>
    <t>Filters MCU PI/control signal</t>
  </si>
  <si>
    <t>8. Output-voltage sensing for MCU</t>
  </si>
  <si>
    <t>R22, R24</t>
  </si>
  <si>
    <t>Precision voltage-divider resistors</t>
  </si>
  <si>
    <t>Scales 5 V output to MCU ADC range</t>
  </si>
  <si>
    <t>C14</t>
  </si>
  <si>
    <t>Ceramic anti-alias / ADC filter capacitor</t>
  </si>
  <si>
    <t>Filters 100 kHz switching ripple before MCU ADC</t>
  </si>
  <si>
    <t>9. Reference / OVP conditioning</t>
  </si>
  <si>
    <t>U2A</t>
  </si>
  <si>
    <t>Op-amp voltage buffer/reference circuit</t>
  </si>
  <si>
    <r>
      <t xml:space="preserve">Produces conditioned reference </t>
    </r>
    <r>
      <rPr>
        <sz val="10"/>
        <color theme="1"/>
        <rFont val="Arial Unicode MS"/>
        <family val="2"/>
      </rPr>
      <t>Vo</t>
    </r>
  </si>
  <si>
    <t>R13, R15</t>
  </si>
  <si>
    <t>Creates reference voltage from 5 V</t>
  </si>
  <si>
    <t>R16</t>
  </si>
  <si>
    <t>Op-amp feedback resistor / link</t>
  </si>
  <si>
    <t>Configures U2A</t>
  </si>
  <si>
    <t>C17</t>
  </si>
  <si>
    <t>Op-amp supply decoupling capacitor</t>
  </si>
  <si>
    <t>10 V supply decoupling</t>
  </si>
  <si>
    <t>10. Hardware over-voltage shutdown</t>
  </si>
  <si>
    <t>Q3</t>
  </si>
  <si>
    <t>Pulls UC3843 COMP low during OVP</t>
  </si>
  <si>
    <t>R7</t>
  </si>
  <si>
    <t>BJT base-current limiting resistor</t>
  </si>
  <si>
    <t>Interfaces OVP signal to Q3</t>
  </si>
  <si>
    <t>11. Connectors &amp; debugging</t>
  </si>
  <si>
    <t>CON1</t>
  </si>
  <si>
    <t>2-pin power input connector</t>
  </si>
  <si>
    <t>Battery/supercapacitor input</t>
  </si>
  <si>
    <t>CON2</t>
  </si>
  <si>
    <t>2-pin power output connector</t>
  </si>
  <si>
    <t>5 V output</t>
  </si>
  <si>
    <t>J1</t>
  </si>
  <si>
    <t>3-pin header</t>
  </si>
  <si>
    <t>Vbat / GND / 10 V</t>
  </si>
  <si>
    <t>P3</t>
  </si>
  <si>
    <t>2×10 pin header</t>
  </si>
  <si>
    <t>MCU/smart-feature interface</t>
  </si>
  <si>
    <t>P4</t>
  </si>
  <si>
    <t>2-pin header</t>
  </si>
  <si>
    <t>Vbat / GND connection</t>
  </si>
  <si>
    <t>TPxx</t>
  </si>
  <si>
    <t>Through-hole test points</t>
  </si>
  <si>
    <t>Debugging and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</si>
</sst>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E+00"/>
    <numFmt numFmtId="166" formatCode="0.000"/>
    <numFmt numFmtId="167" formatCode="0.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  <family val="2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/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000000"/>
      </top>
      <bottom style="double">
        <color rgb="FF000000"/>
      </bottom>
      <diagonal/>
    </border>
    <border>
      <left style="double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000000"/>
      </bottom>
      <diagonal/>
    </border>
    <border>
      <left style="thin">
        <color rgb="FF3F3F3F"/>
      </left>
      <right style="double">
        <color rgb="FF3F3F3F"/>
      </right>
      <top/>
      <bottom style="double">
        <color rgb="FF000000"/>
      </bottom>
      <diagonal/>
    </border>
    <border>
      <left style="double">
        <color rgb="FF3F3F3F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1"/>
    <xf numFmtId="0" fontId="1" fillId="3" borderId="2" xfId="2" applyBorder="1"/>
    <xf numFmtId="2" fontId="0" fillId="4" borderId="3" xfId="0" applyNumberFormat="1" applyFill="1" applyBorder="1"/>
    <xf numFmtId="0" fontId="1" fillId="3" borderId="5" xfId="2" applyBorder="1"/>
    <xf numFmtId="2" fontId="0" fillId="4" borderId="6" xfId="0" applyNumberFormat="1" applyFill="1" applyBorder="1"/>
    <xf numFmtId="0" fontId="0" fillId="0" borderId="7" xfId="0" applyBorder="1"/>
    <xf numFmtId="0" fontId="1" fillId="3" borderId="8" xfId="2" applyBorder="1"/>
    <xf numFmtId="2" fontId="0" fillId="4" borderId="9" xfId="0" applyNumberFormat="1" applyFill="1" applyBorder="1"/>
    <xf numFmtId="0" fontId="0" fillId="0" borderId="10" xfId="0" applyBorder="1"/>
    <xf numFmtId="0" fontId="5" fillId="0" borderId="0" xfId="0" applyFont="1"/>
    <xf numFmtId="49" fontId="0" fillId="0" borderId="4" xfId="0" applyNumberFormat="1" applyBorder="1"/>
    <xf numFmtId="0" fontId="1" fillId="3" borderId="11" xfId="2" applyBorder="1"/>
    <xf numFmtId="2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0" xfId="0" applyNumberFormat="1" applyBorder="1"/>
    <xf numFmtId="2" fontId="0" fillId="0" borderId="9" xfId="0" applyNumberFormat="1" applyBorder="1"/>
    <xf numFmtId="49" fontId="0" fillId="0" borderId="6" xfId="0" applyNumberFormat="1" applyBorder="1"/>
    <xf numFmtId="49" fontId="0" fillId="0" borderId="17" xfId="0" applyNumberFormat="1" applyBorder="1"/>
    <xf numFmtId="2" fontId="0" fillId="0" borderId="6" xfId="0" applyNumberFormat="1" applyBorder="1"/>
    <xf numFmtId="0" fontId="1" fillId="3" borderId="18" xfId="2" applyBorder="1"/>
    <xf numFmtId="49" fontId="0" fillId="0" borderId="9" xfId="0" applyNumberFormat="1" applyBorder="1"/>
    <xf numFmtId="49" fontId="0" fillId="0" borderId="20" xfId="0" applyNumberFormat="1" applyBorder="1"/>
    <xf numFmtId="164" fontId="0" fillId="0" borderId="0" xfId="0" applyNumberFormat="1"/>
    <xf numFmtId="49" fontId="0" fillId="0" borderId="0" xfId="0" applyNumberFormat="1"/>
    <xf numFmtId="2" fontId="0" fillId="4" borderId="12" xfId="0" applyNumberFormat="1" applyFill="1" applyBorder="1"/>
    <xf numFmtId="49" fontId="0" fillId="0" borderId="21" xfId="0" applyNumberFormat="1" applyBorder="1"/>
    <xf numFmtId="2" fontId="6" fillId="4" borderId="12" xfId="0" applyNumberFormat="1" applyFont="1" applyFill="1" applyBorder="1"/>
    <xf numFmtId="0" fontId="0" fillId="3" borderId="2" xfId="2" applyFont="1" applyBorder="1"/>
    <xf numFmtId="0" fontId="0" fillId="3" borderId="5" xfId="2" applyFont="1" applyBorder="1"/>
    <xf numFmtId="0" fontId="0" fillId="3" borderId="23" xfId="2" applyFont="1" applyBorder="1"/>
    <xf numFmtId="0" fontId="0" fillId="3" borderId="25" xfId="2" applyFont="1" applyBorder="1"/>
    <xf numFmtId="0" fontId="0" fillId="3" borderId="28" xfId="2" applyFont="1" applyBorder="1"/>
    <xf numFmtId="0" fontId="0" fillId="3" borderId="31" xfId="2" applyFont="1" applyBorder="1"/>
    <xf numFmtId="0" fontId="0" fillId="3" borderId="11" xfId="2" applyFont="1" applyBorder="1"/>
    <xf numFmtId="0" fontId="0" fillId="3" borderId="35" xfId="2" applyFont="1" applyBorder="1"/>
    <xf numFmtId="0" fontId="1" fillId="3" borderId="38" xfId="2" applyBorder="1"/>
    <xf numFmtId="164" fontId="0" fillId="4" borderId="39" xfId="0" applyNumberFormat="1" applyFill="1" applyBorder="1" applyAlignment="1">
      <alignment horizontal="right"/>
    </xf>
    <xf numFmtId="49" fontId="0" fillId="0" borderId="40" xfId="0" applyNumberFormat="1" applyBorder="1"/>
    <xf numFmtId="0" fontId="1" fillId="3" borderId="41" xfId="2" applyBorder="1"/>
    <xf numFmtId="0" fontId="0" fillId="4" borderId="34" xfId="0" applyFill="1" applyBorder="1" applyAlignment="1">
      <alignment horizontal="right"/>
    </xf>
    <xf numFmtId="0" fontId="0" fillId="0" borderId="42" xfId="0" applyBorder="1"/>
    <xf numFmtId="2" fontId="0" fillId="0" borderId="34" xfId="0" applyNumberFormat="1" applyBorder="1"/>
    <xf numFmtId="165" fontId="0" fillId="0" borderId="34" xfId="0" applyNumberFormat="1" applyBorder="1"/>
    <xf numFmtId="0" fontId="1" fillId="3" borderId="43" xfId="2" applyBorder="1"/>
    <xf numFmtId="165" fontId="0" fillId="0" borderId="44" xfId="0" applyNumberFormat="1" applyBorder="1"/>
    <xf numFmtId="0" fontId="1" fillId="3" borderId="45" xfId="2" applyBorder="1"/>
    <xf numFmtId="2" fontId="0" fillId="4" borderId="46" xfId="0" applyNumberFormat="1" applyFill="1" applyBorder="1"/>
    <xf numFmtId="0" fontId="0" fillId="0" borderId="47" xfId="0" applyBorder="1"/>
    <xf numFmtId="0" fontId="0" fillId="4" borderId="39" xfId="0" applyFill="1" applyBorder="1"/>
    <xf numFmtId="0" fontId="0" fillId="0" borderId="40" xfId="0" applyBorder="1"/>
    <xf numFmtId="2" fontId="0" fillId="0" borderId="0" xfId="0" applyNumberFormat="1"/>
    <xf numFmtId="0" fontId="1" fillId="3" borderId="48" xfId="2" applyBorder="1"/>
    <xf numFmtId="0" fontId="0" fillId="0" borderId="49" xfId="0" applyBorder="1"/>
    <xf numFmtId="0" fontId="0" fillId="0" borderId="50" xfId="0" applyBorder="1"/>
    <xf numFmtId="166" fontId="0" fillId="0" borderId="49" xfId="0" applyNumberFormat="1" applyBorder="1"/>
    <xf numFmtId="167" fontId="0" fillId="0" borderId="0" xfId="0" applyNumberFormat="1"/>
    <xf numFmtId="0" fontId="0" fillId="4" borderId="49" xfId="0" applyFill="1" applyBorder="1" applyAlignment="1">
      <alignment horizontal="right"/>
    </xf>
    <xf numFmtId="0" fontId="0" fillId="3" borderId="48" xfId="2" applyFont="1" applyBorder="1"/>
    <xf numFmtId="0" fontId="0" fillId="3" borderId="51" xfId="2" applyFont="1" applyBorder="1"/>
    <xf numFmtId="0" fontId="1" fillId="3" borderId="52" xfId="2" applyBorder="1"/>
    <xf numFmtId="2" fontId="0" fillId="0" borderId="53" xfId="0" applyNumberFormat="1" applyBorder="1"/>
    <xf numFmtId="0" fontId="0" fillId="0" borderId="54" xfId="0" applyBorder="1"/>
    <xf numFmtId="0" fontId="0" fillId="3" borderId="8" xfId="2" applyFont="1" applyBorder="1"/>
    <xf numFmtId="0" fontId="0" fillId="0" borderId="55" xfId="0" applyBorder="1"/>
    <xf numFmtId="0" fontId="0" fillId="0" borderId="56" xfId="0" applyBorder="1"/>
    <xf numFmtId="0" fontId="0" fillId="0" borderId="34" xfId="0" applyBorder="1"/>
    <xf numFmtId="0" fontId="0" fillId="3" borderId="6" xfId="2" applyFont="1" applyBorder="1"/>
    <xf numFmtId="0" fontId="0" fillId="3" borderId="57" xfId="2" applyFont="1" applyBorder="1"/>
    <xf numFmtId="2" fontId="0" fillId="0" borderId="58" xfId="0" applyNumberFormat="1" applyBorder="1"/>
    <xf numFmtId="0" fontId="0" fillId="6" borderId="0" xfId="0" applyFill="1"/>
    <xf numFmtId="2" fontId="0" fillId="6" borderId="0" xfId="0" applyNumberFormat="1" applyFill="1"/>
    <xf numFmtId="49" fontId="8" fillId="0" borderId="3" xfId="0" applyNumberFormat="1" applyFont="1" applyBorder="1"/>
    <xf numFmtId="49" fontId="8" fillId="0" borderId="15" xfId="0" applyNumberFormat="1" applyFont="1" applyBorder="1"/>
    <xf numFmtId="49" fontId="8" fillId="0" borderId="6" xfId="0" applyNumberFormat="1" applyFont="1" applyBorder="1"/>
    <xf numFmtId="49" fontId="8" fillId="0" borderId="9" xfId="0" applyNumberFormat="1" applyFont="1" applyBorder="1"/>
    <xf numFmtId="49" fontId="8" fillId="0" borderId="16" xfId="0" applyNumberFormat="1" applyFont="1" applyBorder="1"/>
    <xf numFmtId="49" fontId="8" fillId="0" borderId="24" xfId="0" applyNumberFormat="1" applyFont="1" applyBorder="1"/>
    <xf numFmtId="49" fontId="8" fillId="0" borderId="17" xfId="0" applyNumberFormat="1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22" xfId="0" applyFont="1" applyBorder="1"/>
    <xf numFmtId="0" fontId="8" fillId="0" borderId="10" xfId="0" applyFont="1" applyBorder="1"/>
    <xf numFmtId="49" fontId="8" fillId="0" borderId="27" xfId="0" applyNumberFormat="1" applyFont="1" applyBorder="1"/>
    <xf numFmtId="49" fontId="8" fillId="0" borderId="30" xfId="0" applyNumberFormat="1" applyFont="1" applyBorder="1"/>
    <xf numFmtId="49" fontId="8" fillId="0" borderId="37" xfId="0" applyNumberFormat="1" applyFont="1" applyBorder="1"/>
    <xf numFmtId="49" fontId="8" fillId="0" borderId="33" xfId="0" applyNumberFormat="1" applyFont="1" applyBorder="1"/>
    <xf numFmtId="49" fontId="8" fillId="0" borderId="22" xfId="0" applyNumberFormat="1" applyFont="1" applyBorder="1"/>
    <xf numFmtId="49" fontId="8" fillId="0" borderId="14" xfId="0" applyNumberFormat="1" applyFont="1" applyBorder="1"/>
    <xf numFmtId="49" fontId="8" fillId="0" borderId="10" xfId="0" applyNumberFormat="1" applyFont="1" applyBorder="1"/>
    <xf numFmtId="49" fontId="8" fillId="0" borderId="4" xfId="0" applyNumberFormat="1" applyFont="1" applyBorder="1"/>
    <xf numFmtId="49" fontId="8" fillId="0" borderId="7" xfId="0" applyNumberFormat="1" applyFont="1" applyBorder="1"/>
    <xf numFmtId="49" fontId="8" fillId="0" borderId="21" xfId="0" applyNumberFormat="1" applyFont="1" applyBorder="1"/>
    <xf numFmtId="49" fontId="8" fillId="0" borderId="13" xfId="0" applyNumberFormat="1" applyFont="1" applyBorder="1"/>
    <xf numFmtId="2" fontId="7" fillId="4" borderId="3" xfId="0" applyNumberFormat="1" applyFont="1" applyFill="1" applyBorder="1"/>
    <xf numFmtId="2" fontId="7" fillId="4" borderId="6" xfId="0" applyNumberFormat="1" applyFont="1" applyFill="1" applyBorder="1"/>
    <xf numFmtId="2" fontId="7" fillId="4" borderId="19" xfId="0" applyNumberFormat="1" applyFont="1" applyFill="1" applyBorder="1"/>
    <xf numFmtId="2" fontId="7" fillId="4" borderId="9" xfId="0" applyNumberFormat="1" applyFont="1" applyFill="1" applyBorder="1"/>
    <xf numFmtId="2" fontId="7" fillId="0" borderId="26" xfId="0" applyNumberFormat="1" applyFont="1" applyBorder="1"/>
    <xf numFmtId="2" fontId="7" fillId="0" borderId="29" xfId="0" applyNumberFormat="1" applyFont="1" applyBorder="1"/>
    <xf numFmtId="2" fontId="7" fillId="0" borderId="36" xfId="0" applyNumberFormat="1" applyFont="1" applyBorder="1"/>
    <xf numFmtId="2" fontId="7" fillId="0" borderId="32" xfId="0" applyNumberFormat="1" applyFont="1" applyBorder="1"/>
    <xf numFmtId="2" fontId="7" fillId="0" borderId="12" xfId="0" applyNumberFormat="1" applyFont="1" applyBorder="1"/>
    <xf numFmtId="2" fontId="7" fillId="7" borderId="9" xfId="0" applyNumberFormat="1" applyFont="1" applyFill="1" applyBorder="1"/>
    <xf numFmtId="2" fontId="7" fillId="8" borderId="6" xfId="0" applyNumberFormat="1" applyFont="1" applyFill="1" applyBorder="1"/>
    <xf numFmtId="2" fontId="7" fillId="8" borderId="58" xfId="0" applyNumberFormat="1" applyFont="1" applyFill="1" applyBorder="1"/>
    <xf numFmtId="2" fontId="7" fillId="4" borderId="15" xfId="0" applyNumberFormat="1" applyFont="1" applyFill="1" applyBorder="1"/>
    <xf numFmtId="2" fontId="7" fillId="0" borderId="6" xfId="0" applyNumberFormat="1" applyFont="1" applyBorder="1"/>
    <xf numFmtId="2" fontId="7" fillId="4" borderId="6" xfId="0" applyNumberFormat="1" applyFont="1" applyFill="1" applyBorder="1" applyAlignment="1">
      <alignment horizontal="right"/>
    </xf>
    <xf numFmtId="2" fontId="7" fillId="0" borderId="19" xfId="0" applyNumberFormat="1" applyFont="1" applyBorder="1"/>
    <xf numFmtId="2" fontId="7" fillId="0" borderId="9" xfId="0" applyNumberFormat="1" applyFont="1" applyBorder="1"/>
    <xf numFmtId="2" fontId="7" fillId="5" borderId="3" xfId="0" applyNumberFormat="1" applyFont="1" applyFill="1" applyBorder="1"/>
    <xf numFmtId="2" fontId="7" fillId="5" borderId="15" xfId="0" applyNumberFormat="1" applyFont="1" applyFill="1" applyBorder="1"/>
    <xf numFmtId="2" fontId="7" fillId="5" borderId="6" xfId="0" applyNumberFormat="1" applyFont="1" applyFill="1" applyBorder="1"/>
    <xf numFmtId="49" fontId="8" fillId="0" borderId="19" xfId="0" applyNumberFormat="1" applyFont="1" applyBorder="1"/>
    <xf numFmtId="166" fontId="7" fillId="0" borderId="6" xfId="0" applyNumberFormat="1" applyFont="1" applyBorder="1" applyAlignment="1">
      <alignment horizontal="right"/>
    </xf>
    <xf numFmtId="166" fontId="7" fillId="0" borderId="6" xfId="0" applyNumberFormat="1" applyFont="1" applyBorder="1"/>
    <xf numFmtId="166" fontId="7" fillId="0" borderId="19" xfId="0" applyNumberFormat="1" applyFont="1" applyBorder="1"/>
    <xf numFmtId="166" fontId="7" fillId="0" borderId="9" xfId="0" applyNumberFormat="1" applyFont="1" applyBorder="1"/>
    <xf numFmtId="0" fontId="0" fillId="3" borderId="18" xfId="2" applyFont="1" applyBorder="1"/>
    <xf numFmtId="166" fontId="8" fillId="0" borderId="6" xfId="0" applyNumberFormat="1" applyFont="1" applyBorder="1"/>
    <xf numFmtId="166" fontId="8" fillId="0" borderId="17" xfId="0" applyNumberFormat="1" applyFont="1" applyBorder="1"/>
    <xf numFmtId="166" fontId="7" fillId="4" borderId="6" xfId="0" applyNumberFormat="1" applyFont="1" applyFill="1" applyBorder="1" applyAlignment="1">
      <alignment horizontal="right"/>
    </xf>
    <xf numFmtId="166" fontId="8" fillId="0" borderId="59" xfId="0" applyNumberFormat="1" applyFont="1" applyBorder="1"/>
    <xf numFmtId="166" fontId="8" fillId="0" borderId="19" xfId="0" applyNumberFormat="1" applyFont="1" applyBorder="1"/>
    <xf numFmtId="166" fontId="8" fillId="0" borderId="9" xfId="0" applyNumberFormat="1" applyFont="1" applyBorder="1"/>
    <xf numFmtId="0" fontId="9" fillId="0" borderId="0" xfId="0" applyFont="1"/>
    <xf numFmtId="166" fontId="8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/>
    <xf numFmtId="2" fontId="10" fillId="0" borderId="0" xfId="0" applyNumberFormat="1" applyFont="1"/>
    <xf numFmtId="166" fontId="0" fillId="0" borderId="0" xfId="0" applyNumberFormat="1"/>
    <xf numFmtId="0" fontId="10" fillId="0" borderId="0" xfId="0" applyFont="1"/>
    <xf numFmtId="10" fontId="0" fillId="0" borderId="0" xfId="0" applyNumberFormat="1"/>
    <xf numFmtId="166" fontId="0" fillId="4" borderId="49" xfId="0" applyNumberFormat="1" applyFill="1" applyBorder="1"/>
    <xf numFmtId="0" fontId="0" fillId="9" borderId="0" xfId="0" applyFill="1"/>
    <xf numFmtId="0" fontId="7" fillId="0" borderId="0" xfId="0" applyFont="1"/>
    <xf numFmtId="0" fontId="0" fillId="0" borderId="6" xfId="0" applyBorder="1"/>
    <xf numFmtId="0" fontId="0" fillId="0" borderId="6" xfId="0" quotePrefix="1" applyBorder="1"/>
    <xf numFmtId="1" fontId="0" fillId="4" borderId="49" xfId="0" applyNumberFormat="1" applyFill="1" applyBorder="1"/>
    <xf numFmtId="166" fontId="0" fillId="8" borderId="49" xfId="0" applyNumberFormat="1" applyFill="1" applyBorder="1"/>
    <xf numFmtId="0" fontId="12" fillId="0" borderId="0" xfId="3"/>
  </cellXfs>
  <cellStyles count="4">
    <cellStyle name="20% - Accent1" xfId="2" builtinId="30"/>
    <cellStyle name="Check Cell" xfId="1" builtinId="23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Theoritical VS Open loop</a:t>
            </a:r>
            <a:r>
              <a:rPr lang="en-GB" baseline="0"/>
              <a:t> Simulation IL(rms)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'Plots '!$B$21</c:f>
              <c:strCache>
                <c:ptCount val="1"/>
                <c:pt idx="0">
                  <c:v>Theo IL(rms)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'Plots '!$A$22:$A$27</c:f>
              <c:strCache>
                <c:ptCount val="6"/>
                <c:pt idx="0">
                  <c:v>2.5V, 50Ω</c:v>
                </c:pt>
                <c:pt idx="1">
                  <c:v>3.33V, 50Ω</c:v>
                </c:pt>
                <c:pt idx="2">
                  <c:v>3.5V, 50Ω</c:v>
                </c:pt>
                <c:pt idx="3">
                  <c:v>2.5V, 5Ω</c:v>
                </c:pt>
                <c:pt idx="4">
                  <c:v>3.33V, 5Ω</c:v>
                </c:pt>
                <c:pt idx="5">
                  <c:v>3.5V, 5Ω</c:v>
                </c:pt>
              </c:strCache>
            </c:strRef>
          </c:cat>
          <c:val>
            <c:numRef>
              <c:f>'Plots '!$B$22:$B$27</c:f>
              <c:numCache>
                <c:formatCode>0.00</c:formatCode>
                <c:ptCount val="6"/>
                <c:pt idx="0">
                  <c:v>0.2126225137028846</c:v>
                </c:pt>
                <c:pt idx="1">
                  <c:v>0.16330496629959737</c:v>
                </c:pt>
                <c:pt idx="2">
                  <c:v>0.15518751001709552</c:v>
                </c:pt>
                <c:pt idx="3">
                  <c:v>2.0013016597538047</c:v>
                </c:pt>
                <c:pt idx="4">
                  <c:v>1.504001907073689</c:v>
                </c:pt>
                <c:pt idx="5">
                  <c:v>1.4298571000385361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F-D144-95C2-25E3230F0B32}"/>
            </c:ext>
          </c:extLst>
        </c:ser>
        <c:ser>
          <c:idx val="1"/>
          <c:order val="1"/>
          <c:tx>
            <c:strRef>
              <c:f>'Plots '!$C$21</c:f>
              <c:strCache>
                <c:ptCount val="1"/>
                <c:pt idx="0">
                  <c:v>PLECS IL(rms) (Open loop)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'Plots '!$A$22:$A$27</c:f>
              <c:strCache>
                <c:ptCount val="6"/>
                <c:pt idx="0">
                  <c:v>2.5V, 50Ω</c:v>
                </c:pt>
                <c:pt idx="1">
                  <c:v>3.33V, 50Ω</c:v>
                </c:pt>
                <c:pt idx="2">
                  <c:v>3.5V, 50Ω</c:v>
                </c:pt>
                <c:pt idx="3">
                  <c:v>2.5V, 5Ω</c:v>
                </c:pt>
                <c:pt idx="4">
                  <c:v>3.33V, 5Ω</c:v>
                </c:pt>
                <c:pt idx="5">
                  <c:v>3.5V, 5Ω</c:v>
                </c:pt>
              </c:strCache>
            </c:strRef>
          </c:cat>
          <c:val>
            <c:numRef>
              <c:f>'Plots '!$C$22:$C$27</c:f>
              <c:numCache>
                <c:formatCode>0.000</c:formatCode>
                <c:ptCount val="6"/>
                <c:pt idx="0">
                  <c:v>0.19500000000000001</c:v>
                </c:pt>
                <c:pt idx="1">
                  <c:v>0.14760000000000001</c:v>
                </c:pt>
                <c:pt idx="2">
                  <c:v>0.1421</c:v>
                </c:pt>
                <c:pt idx="3">
                  <c:v>1.7851999999999999</c:v>
                </c:pt>
                <c:pt idx="4">
                  <c:v>1.3311999999999999</c:v>
                </c:pt>
                <c:pt idx="5">
                  <c:v>1.28335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F-D144-95C2-25E3230F0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647168"/>
        <c:axId val="820644032"/>
      </c:lineChart>
      <c:catAx>
        <c:axId val="8206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44032"/>
        <c:crosses val="autoZero"/>
        <c:auto val="1"/>
        <c:lblAlgn val="ctr"/>
        <c:lblOffset val="100"/>
        <c:noMultiLvlLbl val="0"/>
      </c:catAx>
      <c:valAx>
        <c:axId val="8206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4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Theoritical VS Open loop Simulation Vripple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'Plots '!$B$29</c:f>
              <c:strCache>
                <c:ptCount val="1"/>
                <c:pt idx="0">
                  <c:v>Theo Vripple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'Plots '!$A$30:$A$35</c:f>
              <c:strCache>
                <c:ptCount val="6"/>
                <c:pt idx="0">
                  <c:v>2.5V, 50Ω</c:v>
                </c:pt>
                <c:pt idx="1">
                  <c:v>3.33V, 50Ω</c:v>
                </c:pt>
                <c:pt idx="2">
                  <c:v>3.5V, 50Ω</c:v>
                </c:pt>
                <c:pt idx="3">
                  <c:v>2.5V, 5Ω</c:v>
                </c:pt>
                <c:pt idx="4">
                  <c:v>3.33V, 5Ω</c:v>
                </c:pt>
                <c:pt idx="5">
                  <c:v>3.5V, 5Ω</c:v>
                </c:pt>
              </c:strCache>
            </c:strRef>
          </c:cat>
          <c:val>
            <c:numRef>
              <c:f>'Plots '!$B$30:$B$35</c:f>
              <c:numCache>
                <c:formatCode>0.00000</c:formatCode>
                <c:ptCount val="6"/>
                <c:pt idx="0">
                  <c:v>2.27272727272727E-3</c:v>
                </c:pt>
                <c:pt idx="1">
                  <c:v>1.51818181818182E-3</c:v>
                </c:pt>
                <c:pt idx="2">
                  <c:v>1.3636363636363601E-3</c:v>
                </c:pt>
                <c:pt idx="3">
                  <c:v>2.27272727272727E-2</c:v>
                </c:pt>
                <c:pt idx="4">
                  <c:v>1.5181818181818201E-2</c:v>
                </c:pt>
                <c:pt idx="5">
                  <c:v>1.3636363636363599E-2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1-5F4F-A497-E3F0C0FB640B}"/>
            </c:ext>
          </c:extLst>
        </c:ser>
        <c:ser>
          <c:idx val="1"/>
          <c:order val="1"/>
          <c:tx>
            <c:strRef>
              <c:f>'Plots '!$C$29</c:f>
              <c:strCache>
                <c:ptCount val="1"/>
                <c:pt idx="0">
                  <c:v>PLECS Vripple (Open loop)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'Plots '!$A$30:$A$35</c:f>
              <c:strCache>
                <c:ptCount val="6"/>
                <c:pt idx="0">
                  <c:v>2.5V, 50Ω</c:v>
                </c:pt>
                <c:pt idx="1">
                  <c:v>3.33V, 50Ω</c:v>
                </c:pt>
                <c:pt idx="2">
                  <c:v>3.5V, 50Ω</c:v>
                </c:pt>
                <c:pt idx="3">
                  <c:v>2.5V, 5Ω</c:v>
                </c:pt>
                <c:pt idx="4">
                  <c:v>3.33V, 5Ω</c:v>
                </c:pt>
                <c:pt idx="5">
                  <c:v>3.5V, 5Ω</c:v>
                </c:pt>
              </c:strCache>
            </c:strRef>
          </c:cat>
          <c:val>
            <c:numRef>
              <c:f>'Plots '!$C$30:$C$35</c:f>
              <c:numCache>
                <c:formatCode>0.00000</c:formatCode>
                <c:ptCount val="6"/>
                <c:pt idx="0">
                  <c:v>2.5999999999999999E-3</c:v>
                </c:pt>
                <c:pt idx="1">
                  <c:v>2.1299999999999999E-3</c:v>
                </c:pt>
                <c:pt idx="2">
                  <c:v>2.0799999999999998E-3</c:v>
                </c:pt>
                <c:pt idx="3">
                  <c:v>2.8500000000000001E-2</c:v>
                </c:pt>
                <c:pt idx="4">
                  <c:v>1.9400000000000001E-2</c:v>
                </c:pt>
                <c:pt idx="5">
                  <c:v>1.7999999999999999E-2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1-5F4F-A497-E3F0C0FB6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244224"/>
        <c:axId val="470887808"/>
      </c:lineChart>
      <c:catAx>
        <c:axId val="85424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87808"/>
        <c:crosses val="autoZero"/>
        <c:auto val="1"/>
        <c:lblAlgn val="ctr"/>
        <c:lblOffset val="100"/>
        <c:noMultiLvlLbl val="0"/>
      </c:catAx>
      <c:valAx>
        <c:axId val="47088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4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668419</xdr:colOff>
      <xdr:row>78</xdr:row>
      <xdr:rowOff>153775</xdr:rowOff>
    </xdr:from>
    <xdr:to>
      <xdr:col>9</xdr:col>
      <xdr:colOff>466222</xdr:colOff>
      <xdr:row>101</xdr:row>
      <xdr:rowOff>54308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4EB0F63-AD3A-7092-4E8B-06FFCA99C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3551" y="15702920"/>
          <a:ext cx="4687303" cy="44217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387350</xdr:colOff>
      <xdr:row>15</xdr:row>
      <xdr:rowOff>88900</xdr:rowOff>
    </xdr:from>
    <xdr:ext cx="65" cy="17209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DD3407-261A-604C-5A5E-E0433F1D664D}"/>
            </a:ext>
          </a:extLst>
        </xdr:cNvPr>
        <xdr:cNvSpPr txBox="1"/>
      </xdr:nvSpPr>
      <xdr:spPr>
        <a:xfrm>
          <a:off x="7524750" y="2946400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5</xdr:col>
      <xdr:colOff>82550</xdr:colOff>
      <xdr:row>10</xdr:row>
      <xdr:rowOff>127000</xdr:rowOff>
    </xdr:from>
    <xdr:to>
      <xdr:col>10</xdr:col>
      <xdr:colOff>527050</xdr:colOff>
      <xdr:row>25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251808-B7F9-3124-B6EC-114BD9398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26</xdr:row>
      <xdr:rowOff>50800</xdr:rowOff>
    </xdr:from>
    <xdr:to>
      <xdr:col>10</xdr:col>
      <xdr:colOff>654050</xdr:colOff>
      <xdr:row>40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AD8D06-C2B4-021E-70A0-F2BB16E5F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114300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4F6AE85E-8654-5E7E-D068-583992DE7724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25400</xdr:colOff>
      <xdr:row>0</xdr:row>
      <xdr:rowOff>12700</xdr:rowOff>
    </xdr:from>
    <xdr:to>
      <xdr:col>3</xdr:col>
      <xdr:colOff>736600</xdr:colOff>
      <xdr:row>13</xdr:row>
      <xdr:rowOff>183595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43C44B-97FA-C1DB-BB08-F52FD3B21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12700"/>
          <a:ext cx="7772400" cy="26473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digikey.com/en/products/detail/riedon-products-by-bourns/UB5C-0R33F1/217662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CAE-7D6E-414C-9BF7-B54583CFEE9E}">
  <dimension ref="A1:Q109"/>
  <sheetViews>
    <sheetView topLeftCell="A80" zoomScale="93" workbookViewId="0">
      <selection activeCell="H49" sqref="H49"/>
    </sheetView>
  </sheetViews>
  <sheetFormatPr defaultColWidth="12" defaultRowHeight="15" x14ac:dyDescent="0.25"/>
  <cols>
    <col min="1" max="1" width="20.42578125" customWidth="1"/>
    <col min="2" max="13" width="12.85546875" customWidth="1"/>
  </cols>
  <sheetData>
    <row r="1" spans="1:3" ht="21" x14ac:dyDescent="0.35">
      <c r="A1" s="1" t="s">
        <v>58</v>
      </c>
    </row>
    <row r="3" spans="1:3" ht="18.75" x14ac:dyDescent="0.3">
      <c r="A3" s="2" t="s">
        <v>143</v>
      </c>
    </row>
    <row r="4" spans="1:3" ht="15.75" thickBot="1" x14ac:dyDescent="0.3"/>
    <row r="5" spans="1:3" ht="16.5" thickTop="1" thickBot="1" x14ac:dyDescent="0.3">
      <c r="A5" s="3" t="s">
        <v>0</v>
      </c>
      <c r="B5" s="3" t="s">
        <v>1</v>
      </c>
      <c r="C5" s="3" t="s">
        <v>2</v>
      </c>
    </row>
    <row r="6" spans="1:3" ht="15.75" thickTop="1" x14ac:dyDescent="0.25">
      <c r="A6" s="31" t="s">
        <v>36</v>
      </c>
      <c r="B6" s="97">
        <v>3.5</v>
      </c>
      <c r="C6" s="82" t="s">
        <v>3</v>
      </c>
    </row>
    <row r="7" spans="1:3" x14ac:dyDescent="0.25">
      <c r="A7" s="32" t="s">
        <v>37</v>
      </c>
      <c r="B7" s="98">
        <v>2.5</v>
      </c>
      <c r="C7" s="83" t="s">
        <v>3</v>
      </c>
    </row>
    <row r="8" spans="1:3" x14ac:dyDescent="0.25">
      <c r="A8" s="32" t="s">
        <v>38</v>
      </c>
      <c r="B8" s="98">
        <v>5</v>
      </c>
      <c r="C8" s="83" t="s">
        <v>3</v>
      </c>
    </row>
    <row r="9" spans="1:3" x14ac:dyDescent="0.25">
      <c r="A9" s="32" t="s">
        <v>56</v>
      </c>
      <c r="B9" s="98">
        <v>5</v>
      </c>
      <c r="C9" s="83" t="s">
        <v>4</v>
      </c>
    </row>
    <row r="10" spans="1:3" x14ac:dyDescent="0.25">
      <c r="A10" s="32" t="s">
        <v>57</v>
      </c>
      <c r="B10" s="99">
        <v>0.5</v>
      </c>
      <c r="C10" s="84" t="s">
        <v>4</v>
      </c>
    </row>
    <row r="11" spans="1:3" ht="15.75" thickBot="1" x14ac:dyDescent="0.3">
      <c r="A11" s="9" t="s">
        <v>5</v>
      </c>
      <c r="B11" s="100">
        <v>100</v>
      </c>
      <c r="C11" s="85" t="s">
        <v>6</v>
      </c>
    </row>
    <row r="12" spans="1:3" ht="16.5" thickTop="1" x14ac:dyDescent="0.25">
      <c r="A12" s="12"/>
    </row>
    <row r="14" spans="1:3" ht="18.75" x14ac:dyDescent="0.3">
      <c r="A14" s="2" t="s">
        <v>55</v>
      </c>
    </row>
    <row r="15" spans="1:3" ht="15.75" thickBot="1" x14ac:dyDescent="0.3"/>
    <row r="16" spans="1:3" ht="16.5" thickTop="1" thickBot="1" x14ac:dyDescent="0.3">
      <c r="A16" s="3" t="s">
        <v>0</v>
      </c>
      <c r="B16" s="3" t="s">
        <v>1</v>
      </c>
      <c r="C16" s="3" t="s">
        <v>7</v>
      </c>
    </row>
    <row r="17" spans="1:7" ht="15.75" thickTop="1" x14ac:dyDescent="0.25">
      <c r="A17" s="34" t="s">
        <v>41</v>
      </c>
      <c r="B17" s="101">
        <f>1-B7/B8</f>
        <v>0.5</v>
      </c>
      <c r="C17" s="86" t="s">
        <v>104</v>
      </c>
      <c r="D17" t="s">
        <v>151</v>
      </c>
    </row>
    <row r="18" spans="1:7" x14ac:dyDescent="0.25">
      <c r="A18" s="35" t="s">
        <v>40</v>
      </c>
      <c r="B18" s="102">
        <f>1 - B6/B8</f>
        <v>0.30000000000000004</v>
      </c>
      <c r="C18" s="87" t="s">
        <v>105</v>
      </c>
      <c r="D18" t="s">
        <v>152</v>
      </c>
    </row>
    <row r="19" spans="1:7" x14ac:dyDescent="0.25">
      <c r="A19" s="38" t="s">
        <v>59</v>
      </c>
      <c r="B19" s="103">
        <f>B9/B7</f>
        <v>2</v>
      </c>
      <c r="C19" s="88" t="s">
        <v>106</v>
      </c>
      <c r="D19" t="s">
        <v>153</v>
      </c>
    </row>
    <row r="20" spans="1:7" x14ac:dyDescent="0.25">
      <c r="A20" s="36" t="s">
        <v>60</v>
      </c>
      <c r="B20" s="104">
        <f>B10/B6</f>
        <v>0.14285714285714285</v>
      </c>
      <c r="C20" s="89" t="s">
        <v>107</v>
      </c>
      <c r="D20" t="s">
        <v>154</v>
      </c>
    </row>
    <row r="21" spans="1:7" x14ac:dyDescent="0.25">
      <c r="A21" s="37" t="s">
        <v>43</v>
      </c>
      <c r="B21" s="105">
        <v>0.33333333333333331</v>
      </c>
      <c r="C21" s="90" t="s">
        <v>108</v>
      </c>
      <c r="D21" t="s">
        <v>155</v>
      </c>
    </row>
    <row r="22" spans="1:7" x14ac:dyDescent="0.25">
      <c r="A22" s="37" t="s">
        <v>156</v>
      </c>
      <c r="B22" s="105">
        <f>B8^2/B10</f>
        <v>50</v>
      </c>
      <c r="C22" s="77" t="s">
        <v>23</v>
      </c>
      <c r="D22" t="s">
        <v>158</v>
      </c>
    </row>
    <row r="23" spans="1:7" x14ac:dyDescent="0.25">
      <c r="A23" s="37" t="s">
        <v>157</v>
      </c>
      <c r="B23" s="105">
        <f>B8^2/B9</f>
        <v>5</v>
      </c>
      <c r="C23" s="77" t="s">
        <v>23</v>
      </c>
      <c r="D23" t="s">
        <v>159</v>
      </c>
    </row>
    <row r="24" spans="1:7" x14ac:dyDescent="0.25">
      <c r="A24" s="37" t="s">
        <v>44</v>
      </c>
      <c r="B24" s="105">
        <f>B22*B21*(1-B21)^2/(2*B11*1000)*1000000</f>
        <v>37.037037037037038</v>
      </c>
      <c r="C24" s="91" t="s">
        <v>109</v>
      </c>
      <c r="D24" t="s">
        <v>160</v>
      </c>
      <c r="G24" t="s">
        <v>161</v>
      </c>
    </row>
    <row r="25" spans="1:7" ht="15.75" thickBot="1" x14ac:dyDescent="0.3">
      <c r="A25" s="66" t="s">
        <v>103</v>
      </c>
      <c r="B25" s="106">
        <v>50</v>
      </c>
      <c r="C25" s="92" t="s">
        <v>8</v>
      </c>
    </row>
    <row r="26" spans="1:7" ht="15.75" thickTop="1" x14ac:dyDescent="0.25"/>
    <row r="28" spans="1:7" ht="18.75" x14ac:dyDescent="0.3">
      <c r="A28" s="2" t="s">
        <v>9</v>
      </c>
    </row>
    <row r="29" spans="1:7" ht="15.75" thickBot="1" x14ac:dyDescent="0.3"/>
    <row r="30" spans="1:7" ht="16.5" thickTop="1" thickBot="1" x14ac:dyDescent="0.3">
      <c r="A30" s="3" t="s">
        <v>0</v>
      </c>
      <c r="B30" s="3" t="s">
        <v>1</v>
      </c>
      <c r="C30" s="3" t="s">
        <v>7</v>
      </c>
    </row>
    <row r="31" spans="1:7" ht="15.75" thickTop="1" x14ac:dyDescent="0.25">
      <c r="A31" s="4" t="s">
        <v>10</v>
      </c>
      <c r="B31" s="97">
        <v>0.05</v>
      </c>
      <c r="C31" s="93" t="s">
        <v>3</v>
      </c>
    </row>
    <row r="32" spans="1:7" x14ac:dyDescent="0.25">
      <c r="A32" s="70" t="s">
        <v>162</v>
      </c>
      <c r="B32" s="107">
        <f>B9/B8</f>
        <v>1</v>
      </c>
      <c r="C32" s="94" t="s">
        <v>42</v>
      </c>
      <c r="D32" t="s">
        <v>164</v>
      </c>
    </row>
    <row r="33" spans="1:14" x14ac:dyDescent="0.25">
      <c r="A33" s="71" t="s">
        <v>163</v>
      </c>
      <c r="B33" s="108">
        <f>B10/B8</f>
        <v>0.1</v>
      </c>
      <c r="C33" s="95" t="s">
        <v>42</v>
      </c>
    </row>
    <row r="34" spans="1:14" x14ac:dyDescent="0.25">
      <c r="A34" s="14" t="s">
        <v>11</v>
      </c>
      <c r="B34" s="105">
        <f>(B32*B17)/(B11*1000*B31)*1000000</f>
        <v>100</v>
      </c>
      <c r="C34" s="96" t="s">
        <v>110</v>
      </c>
      <c r="D34" t="s">
        <v>165</v>
      </c>
    </row>
    <row r="35" spans="1:14" ht="15.75" thickBot="1" x14ac:dyDescent="0.3">
      <c r="A35" s="9" t="s">
        <v>12</v>
      </c>
      <c r="B35" s="106">
        <v>220</v>
      </c>
      <c r="C35" s="92" t="s">
        <v>111</v>
      </c>
    </row>
    <row r="36" spans="1:14" ht="15.75" thickTop="1" x14ac:dyDescent="0.25"/>
    <row r="38" spans="1:14" ht="18.75" x14ac:dyDescent="0.3">
      <c r="A38" s="2" t="s">
        <v>13</v>
      </c>
    </row>
    <row r="39" spans="1:14" ht="15.75" thickBot="1" x14ac:dyDescent="0.3"/>
    <row r="40" spans="1:14" ht="16.5" thickTop="1" thickBot="1" x14ac:dyDescent="0.3">
      <c r="A40" s="3" t="s">
        <v>0</v>
      </c>
      <c r="B40" s="3" t="s">
        <v>1</v>
      </c>
      <c r="C40" s="3" t="s">
        <v>7</v>
      </c>
      <c r="D40" s="3" t="s">
        <v>1</v>
      </c>
      <c r="E40" s="3" t="s">
        <v>7</v>
      </c>
      <c r="F40" s="3" t="s">
        <v>1</v>
      </c>
      <c r="G40" s="3" t="s">
        <v>7</v>
      </c>
      <c r="H40" s="3" t="s">
        <v>1</v>
      </c>
      <c r="I40" s="3" t="s">
        <v>7</v>
      </c>
      <c r="J40" s="3" t="s">
        <v>1</v>
      </c>
      <c r="K40" s="3" t="s">
        <v>7</v>
      </c>
      <c r="L40" s="3" t="s">
        <v>1</v>
      </c>
      <c r="M40" s="3" t="s">
        <v>7</v>
      </c>
    </row>
    <row r="41" spans="1:14" ht="15.75" thickTop="1" x14ac:dyDescent="0.25">
      <c r="A41" s="4" t="s">
        <v>14</v>
      </c>
      <c r="B41" s="97">
        <v>5</v>
      </c>
      <c r="C41" s="75" t="s">
        <v>3</v>
      </c>
      <c r="D41" s="97">
        <v>5</v>
      </c>
      <c r="E41" s="75" t="s">
        <v>3</v>
      </c>
      <c r="F41" s="114">
        <v>5</v>
      </c>
      <c r="G41" s="75" t="s">
        <v>3</v>
      </c>
      <c r="H41" s="97">
        <v>5</v>
      </c>
      <c r="I41" s="75" t="s">
        <v>3</v>
      </c>
      <c r="J41" s="97">
        <v>5</v>
      </c>
      <c r="K41" s="79" t="s">
        <v>3</v>
      </c>
      <c r="L41" s="97">
        <v>5</v>
      </c>
      <c r="M41" s="79" t="s">
        <v>3</v>
      </c>
    </row>
    <row r="42" spans="1:14" x14ac:dyDescent="0.25">
      <c r="A42" s="33" t="s">
        <v>39</v>
      </c>
      <c r="B42" s="109">
        <v>2.5</v>
      </c>
      <c r="C42" s="76" t="s">
        <v>3</v>
      </c>
      <c r="D42" s="109">
        <v>3.33</v>
      </c>
      <c r="E42" s="76" t="s">
        <v>3</v>
      </c>
      <c r="F42" s="115">
        <v>3.5</v>
      </c>
      <c r="G42" s="76" t="s">
        <v>3</v>
      </c>
      <c r="H42" s="109">
        <v>2.5</v>
      </c>
      <c r="I42" s="76" t="s">
        <v>3</v>
      </c>
      <c r="J42" s="109">
        <v>3.33</v>
      </c>
      <c r="K42" s="80" t="s">
        <v>3</v>
      </c>
      <c r="L42" s="109">
        <v>3.5</v>
      </c>
      <c r="M42" s="80" t="s">
        <v>3</v>
      </c>
    </row>
    <row r="43" spans="1:14" x14ac:dyDescent="0.25">
      <c r="A43" s="6" t="s">
        <v>15</v>
      </c>
      <c r="B43" s="98">
        <f>B10</f>
        <v>0.5</v>
      </c>
      <c r="C43" s="77" t="s">
        <v>4</v>
      </c>
      <c r="D43" s="98">
        <f>B10</f>
        <v>0.5</v>
      </c>
      <c r="E43" s="77" t="s">
        <v>4</v>
      </c>
      <c r="F43" s="116">
        <v>0.5</v>
      </c>
      <c r="G43" s="77" t="s">
        <v>4</v>
      </c>
      <c r="H43" s="98">
        <v>5</v>
      </c>
      <c r="I43" s="77" t="s">
        <v>4</v>
      </c>
      <c r="J43" s="98">
        <v>5</v>
      </c>
      <c r="K43" s="81" t="s">
        <v>4</v>
      </c>
      <c r="L43" s="98">
        <v>5</v>
      </c>
      <c r="M43" s="81" t="s">
        <v>4</v>
      </c>
    </row>
    <row r="44" spans="1:14" x14ac:dyDescent="0.25">
      <c r="A44" s="6" t="s">
        <v>16</v>
      </c>
      <c r="B44" s="110">
        <f>B41^2/B43</f>
        <v>50</v>
      </c>
      <c r="C44" s="77" t="s">
        <v>112</v>
      </c>
      <c r="D44" s="110">
        <f>D41^2/D43</f>
        <v>50</v>
      </c>
      <c r="E44" s="77" t="s">
        <v>112</v>
      </c>
      <c r="F44" s="110">
        <f>F41^2/F43</f>
        <v>50</v>
      </c>
      <c r="G44" s="77" t="s">
        <v>112</v>
      </c>
      <c r="H44" s="110">
        <f>H41^2/H43</f>
        <v>5</v>
      </c>
      <c r="I44" s="77" t="s">
        <v>112</v>
      </c>
      <c r="J44" s="110">
        <f>J41^2/J43</f>
        <v>5</v>
      </c>
      <c r="K44" s="77" t="s">
        <v>112</v>
      </c>
      <c r="L44" s="110">
        <f>L41^2/L43</f>
        <v>5</v>
      </c>
      <c r="M44" s="77" t="s">
        <v>112</v>
      </c>
      <c r="N44" s="72" t="s">
        <v>166</v>
      </c>
    </row>
    <row r="45" spans="1:14" x14ac:dyDescent="0.25">
      <c r="A45" s="6" t="s">
        <v>17</v>
      </c>
      <c r="B45" s="110">
        <f>1 - B42/B41</f>
        <v>0.5</v>
      </c>
      <c r="C45" s="77" t="s">
        <v>113</v>
      </c>
      <c r="D45" s="110">
        <f>1 - D42/D41</f>
        <v>0.33399999999999996</v>
      </c>
      <c r="E45" s="77" t="s">
        <v>113</v>
      </c>
      <c r="F45" s="110">
        <f>1 - F42/F41</f>
        <v>0.30000000000000004</v>
      </c>
      <c r="G45" s="77" t="s">
        <v>113</v>
      </c>
      <c r="H45" s="110">
        <f>1 - H42/H41</f>
        <v>0.5</v>
      </c>
      <c r="I45" s="77" t="s">
        <v>113</v>
      </c>
      <c r="J45" s="110">
        <f>1 - J42/J41</f>
        <v>0.33399999999999996</v>
      </c>
      <c r="K45" s="77" t="s">
        <v>113</v>
      </c>
      <c r="L45" s="110">
        <f>1 - L42/L41</f>
        <v>0.30000000000000004</v>
      </c>
      <c r="M45" s="77" t="s">
        <v>113</v>
      </c>
      <c r="N45" s="72" t="s">
        <v>167</v>
      </c>
    </row>
    <row r="46" spans="1:14" x14ac:dyDescent="0.25">
      <c r="A46" s="32" t="s">
        <v>46</v>
      </c>
      <c r="B46" s="110">
        <f>B43/B42</f>
        <v>0.2</v>
      </c>
      <c r="C46" s="77" t="s">
        <v>114</v>
      </c>
      <c r="D46" s="110">
        <f>D43/D42</f>
        <v>0.15015015015015015</v>
      </c>
      <c r="E46" s="77" t="s">
        <v>114</v>
      </c>
      <c r="F46" s="110">
        <f>F43/F42</f>
        <v>0.14285714285714285</v>
      </c>
      <c r="G46" s="77" t="s">
        <v>114</v>
      </c>
      <c r="H46" s="110">
        <f>H43/H42</f>
        <v>2</v>
      </c>
      <c r="I46" s="77" t="s">
        <v>114</v>
      </c>
      <c r="J46" s="110">
        <f>J43/J42</f>
        <v>1.5015015015015014</v>
      </c>
      <c r="K46" s="77" t="s">
        <v>114</v>
      </c>
      <c r="L46" s="110">
        <f>L43/L42</f>
        <v>1.4285714285714286</v>
      </c>
      <c r="M46" s="77" t="s">
        <v>114</v>
      </c>
      <c r="N46" s="72" t="s">
        <v>168</v>
      </c>
    </row>
    <row r="47" spans="1:14" x14ac:dyDescent="0.25">
      <c r="A47" s="32" t="s">
        <v>45</v>
      </c>
      <c r="B47" s="110">
        <f>B42*B45/(B25*0.000001*B11*1000)</f>
        <v>0.25000000000000006</v>
      </c>
      <c r="C47" s="77" t="s">
        <v>115</v>
      </c>
      <c r="D47" s="110">
        <f>D42*D45/(B25*0.000001*B11*1000)</f>
        <v>0.22244400000000003</v>
      </c>
      <c r="E47" s="77" t="s">
        <v>115</v>
      </c>
      <c r="F47" s="110">
        <f>F42*F45/(B25*0.000001*B11*1000)</f>
        <v>0.2100000000000001</v>
      </c>
      <c r="G47" s="77" t="s">
        <v>115</v>
      </c>
      <c r="H47" s="110">
        <f>H42*H45/(B25*0.000001*B11*1000)</f>
        <v>0.25000000000000006</v>
      </c>
      <c r="I47" s="77" t="s">
        <v>115</v>
      </c>
      <c r="J47" s="110">
        <f>J42*J45/(B24*0.000001*B11*1000)</f>
        <v>0.30029939999999999</v>
      </c>
      <c r="K47" s="77" t="s">
        <v>115</v>
      </c>
      <c r="L47" s="110">
        <f>L42*L45/(B25*0.000001*B11*1000)</f>
        <v>0.2100000000000001</v>
      </c>
      <c r="M47" s="77" t="s">
        <v>115</v>
      </c>
      <c r="N47" s="54" t="s">
        <v>169</v>
      </c>
    </row>
    <row r="48" spans="1:14" x14ac:dyDescent="0.25">
      <c r="A48" s="32" t="s">
        <v>170</v>
      </c>
      <c r="B48" s="111" t="str">
        <f>IF(B46&gt;=B47/2,"Yes","No")</f>
        <v>Yes</v>
      </c>
      <c r="C48" s="77"/>
      <c r="D48" s="111" t="str">
        <f>IF(D46&gt;=D47/2,"Yes","No")</f>
        <v>Yes</v>
      </c>
      <c r="E48" s="77"/>
      <c r="F48" s="111" t="str">
        <f>IF(F46&gt;=F47/2,"Yes","No")</f>
        <v>Yes</v>
      </c>
      <c r="G48" s="77"/>
      <c r="H48" s="111" t="str">
        <f>IF(H46&gt;=H47/2,"Yes","No")</f>
        <v>Yes</v>
      </c>
      <c r="I48" s="77"/>
      <c r="J48" s="111" t="str">
        <f>IF(J46&gt;=J47/2,"Yes","No")</f>
        <v>Yes</v>
      </c>
      <c r="K48" s="81"/>
      <c r="L48" s="111" t="str">
        <f>IF(L46&gt;=L47/2,"Yes","No")</f>
        <v>Yes</v>
      </c>
      <c r="M48" s="81"/>
    </row>
    <row r="49" spans="1:17" x14ac:dyDescent="0.25">
      <c r="A49" s="6" t="s">
        <v>48</v>
      </c>
      <c r="B49" s="110">
        <f>B46+B47/2</f>
        <v>0.32500000000000007</v>
      </c>
      <c r="C49" s="77" t="s">
        <v>116</v>
      </c>
      <c r="D49" s="110">
        <f>D46+D47/2</f>
        <v>0.26137215015015014</v>
      </c>
      <c r="E49" s="77" t="s">
        <v>116</v>
      </c>
      <c r="F49" s="110">
        <f>F46+F47/2</f>
        <v>0.24785714285714289</v>
      </c>
      <c r="G49" s="77" t="s">
        <v>116</v>
      </c>
      <c r="H49" s="110">
        <f>H46+H47/2</f>
        <v>2.125</v>
      </c>
      <c r="I49" s="77" t="s">
        <v>116</v>
      </c>
      <c r="J49" s="110">
        <f>J46+J47/2</f>
        <v>1.6516512015015015</v>
      </c>
      <c r="K49" s="77" t="s">
        <v>116</v>
      </c>
      <c r="L49" s="110">
        <f>L46+L47/2</f>
        <v>1.5335714285714286</v>
      </c>
      <c r="M49" s="77" t="s">
        <v>116</v>
      </c>
      <c r="N49" s="54" t="s">
        <v>171</v>
      </c>
    </row>
    <row r="50" spans="1:17" x14ac:dyDescent="0.25">
      <c r="A50" s="6" t="s">
        <v>47</v>
      </c>
      <c r="B50" s="110">
        <f>SQRT(B46^2 + B47^2/12)</f>
        <v>0.2126225137028846</v>
      </c>
      <c r="C50" s="77" t="s">
        <v>117</v>
      </c>
      <c r="D50" s="110">
        <f>SQRT(D46^2 + D47^2/12)</f>
        <v>0.16330496629959737</v>
      </c>
      <c r="E50" s="77" t="s">
        <v>117</v>
      </c>
      <c r="F50" s="110">
        <f>SQRT(F46^2 + F47^2/12)</f>
        <v>0.15518751001709552</v>
      </c>
      <c r="G50" s="77" t="s">
        <v>117</v>
      </c>
      <c r="H50" s="110">
        <f>SQRT(H46^2 + H47^2/12)</f>
        <v>2.0013016597538047</v>
      </c>
      <c r="I50" s="77" t="s">
        <v>117</v>
      </c>
      <c r="J50" s="110">
        <f>SQRT(J46^2 + J47^2/12)</f>
        <v>1.504001907073689</v>
      </c>
      <c r="K50" s="77" t="s">
        <v>117</v>
      </c>
      <c r="L50" s="110">
        <f>SQRT(L46^2 + L47^2/12)</f>
        <v>1.4298571000385361</v>
      </c>
      <c r="M50" s="77" t="s">
        <v>117</v>
      </c>
      <c r="N50" s="54" t="s">
        <v>172</v>
      </c>
    </row>
    <row r="51" spans="1:17" x14ac:dyDescent="0.25">
      <c r="A51" s="23" t="s">
        <v>49</v>
      </c>
      <c r="B51" s="112">
        <f>B43/B41</f>
        <v>0.1</v>
      </c>
      <c r="C51" s="77" t="s">
        <v>118</v>
      </c>
      <c r="D51" s="112">
        <f>D43/D41</f>
        <v>0.1</v>
      </c>
      <c r="E51" s="77" t="s">
        <v>118</v>
      </c>
      <c r="F51" s="112">
        <f>F43/F41</f>
        <v>0.1</v>
      </c>
      <c r="G51" s="77" t="s">
        <v>118</v>
      </c>
      <c r="H51" s="112">
        <f>H43/H41</f>
        <v>1</v>
      </c>
      <c r="I51" s="77" t="s">
        <v>118</v>
      </c>
      <c r="J51" s="112">
        <f>J43/J41</f>
        <v>1</v>
      </c>
      <c r="K51" s="77" t="s">
        <v>118</v>
      </c>
      <c r="L51" s="112">
        <f>L43/L41</f>
        <v>1</v>
      </c>
      <c r="M51" s="77" t="s">
        <v>118</v>
      </c>
      <c r="N51" s="54" t="s">
        <v>173</v>
      </c>
    </row>
    <row r="52" spans="1:17" x14ac:dyDescent="0.25">
      <c r="A52" s="23" t="s">
        <v>51</v>
      </c>
      <c r="B52" s="112">
        <f>SQRT(B45*(B46^2 + B47^2/12))</f>
        <v>0.15034682127223931</v>
      </c>
      <c r="C52" s="77" t="s">
        <v>119</v>
      </c>
      <c r="D52" s="112">
        <f>SQRT(D45*(D46^2 + D47^2/12))</f>
        <v>9.4378403324328494E-2</v>
      </c>
      <c r="E52" s="77" t="s">
        <v>119</v>
      </c>
      <c r="F52" s="112">
        <f>SQRT(F45*(F46^2 + F47^2/12))</f>
        <v>8.4999699879422158E-2</v>
      </c>
      <c r="G52" s="77" t="s">
        <v>119</v>
      </c>
      <c r="H52" s="112">
        <f>SQRT(H45*(H46^2 + H47^2/12))</f>
        <v>1.4151339748118079</v>
      </c>
      <c r="I52" s="77" t="s">
        <v>119</v>
      </c>
      <c r="J52" s="112">
        <f>SQRT(J45*(J46^2 + J47^2/12))</f>
        <v>0.86920380808228848</v>
      </c>
      <c r="K52" s="77" t="s">
        <v>119</v>
      </c>
      <c r="L52" s="112">
        <f>SQRT(L45*(L46^2 + L47^2/12))</f>
        <v>0.78316498770002718</v>
      </c>
      <c r="M52" s="77" t="s">
        <v>119</v>
      </c>
      <c r="N52" s="54" t="s">
        <v>174</v>
      </c>
      <c r="Q52" t="s">
        <v>175</v>
      </c>
    </row>
    <row r="53" spans="1:17" x14ac:dyDescent="0.25">
      <c r="A53" s="23" t="s">
        <v>50</v>
      </c>
      <c r="B53" s="112">
        <f>SQRT(B51^2 *B45/(1-B45) +(1 - B45) * B47^2/12)</f>
        <v>0.11226827987756234</v>
      </c>
      <c r="C53" s="77" t="s">
        <v>120</v>
      </c>
      <c r="D53" s="112">
        <f>SQRT(D51^2 *D45/(1-D45) +(1 - D45) * D47^2/12)</f>
        <v>8.8097837680972707E-2</v>
      </c>
      <c r="E53" s="77" t="s">
        <v>120</v>
      </c>
      <c r="F53" s="112">
        <f>SQRT(F51^2 *F45/(1-F45) +(1 - F45) * F47^2/12)</f>
        <v>8.2814336233011557E-2</v>
      </c>
      <c r="G53" s="77" t="s">
        <v>120</v>
      </c>
      <c r="H53" s="112">
        <f>SQRT(H51^2 *H45/(1-H45) +(1 - H45) * H47^2/12)</f>
        <v>1.0013012367248264</v>
      </c>
      <c r="I53" s="77" t="s">
        <v>120</v>
      </c>
      <c r="J53" s="112">
        <f>SQRT(J51^2 *J45/(1-J45) +(1 - J45) * J47^2/12)</f>
        <v>0.71169268402628771</v>
      </c>
      <c r="K53" s="77" t="s">
        <v>120</v>
      </c>
      <c r="L53" s="112">
        <f>SQRT(L51^2 *L45/(1-L45) +(1 - L45) * L47^2/12)</f>
        <v>0.65661551045602684</v>
      </c>
      <c r="M53" s="77" t="s">
        <v>120</v>
      </c>
      <c r="N53" s="54" t="s">
        <v>176</v>
      </c>
    </row>
    <row r="54" spans="1:17" x14ac:dyDescent="0.25">
      <c r="A54" s="6" t="s">
        <v>52</v>
      </c>
      <c r="B54" s="112">
        <f>B8</f>
        <v>5</v>
      </c>
      <c r="C54" s="77" t="s">
        <v>121</v>
      </c>
      <c r="D54" s="112">
        <f>B8</f>
        <v>5</v>
      </c>
      <c r="E54" s="77" t="s">
        <v>121</v>
      </c>
      <c r="F54" s="112">
        <f>B8</f>
        <v>5</v>
      </c>
      <c r="G54" s="77" t="s">
        <v>121</v>
      </c>
      <c r="H54" s="112">
        <f>B8</f>
        <v>5</v>
      </c>
      <c r="I54" s="77" t="s">
        <v>121</v>
      </c>
      <c r="J54" s="112">
        <f>B8</f>
        <v>5</v>
      </c>
      <c r="K54" s="77" t="s">
        <v>121</v>
      </c>
      <c r="L54" s="112">
        <f>B8</f>
        <v>5</v>
      </c>
      <c r="M54" s="77" t="s">
        <v>121</v>
      </c>
      <c r="N54" s="73" t="s">
        <v>177</v>
      </c>
      <c r="O54" s="73"/>
      <c r="P54" s="73" t="s">
        <v>179</v>
      </c>
    </row>
    <row r="55" spans="1:17" x14ac:dyDescent="0.25">
      <c r="A55" s="23" t="s">
        <v>53</v>
      </c>
      <c r="B55" s="112">
        <f>B8</f>
        <v>5</v>
      </c>
      <c r="C55" s="77" t="s">
        <v>122</v>
      </c>
      <c r="D55" s="112">
        <f>B8</f>
        <v>5</v>
      </c>
      <c r="E55" s="77" t="s">
        <v>122</v>
      </c>
      <c r="F55" s="112">
        <f>B8</f>
        <v>5</v>
      </c>
      <c r="G55" s="77" t="s">
        <v>122</v>
      </c>
      <c r="H55" s="112">
        <f>B8</f>
        <v>5</v>
      </c>
      <c r="I55" s="77" t="s">
        <v>122</v>
      </c>
      <c r="J55" s="112">
        <f>B8</f>
        <v>5</v>
      </c>
      <c r="K55" s="77" t="s">
        <v>122</v>
      </c>
      <c r="L55" s="112">
        <f>B8</f>
        <v>5</v>
      </c>
      <c r="M55" s="77" t="s">
        <v>122</v>
      </c>
      <c r="N55" s="74" t="s">
        <v>178</v>
      </c>
      <c r="O55" s="73"/>
      <c r="P55" s="73"/>
    </row>
    <row r="56" spans="1:17" ht="15.75" thickBot="1" x14ac:dyDescent="0.3">
      <c r="A56" s="9" t="s">
        <v>54</v>
      </c>
      <c r="B56" s="113">
        <f>B51*B45/(B11*1000*B35*0.000001)*1000</f>
        <v>2.2727272727272729</v>
      </c>
      <c r="C56" s="78" t="s">
        <v>123</v>
      </c>
      <c r="D56" s="113">
        <f>D51*D45/(B11*1000*B35*0.000001)*1000</f>
        <v>1.5181818181818181</v>
      </c>
      <c r="E56" s="78" t="s">
        <v>123</v>
      </c>
      <c r="F56" s="113">
        <f>F51*F45/(B11*1000*B35*0.000001)*1000</f>
        <v>1.363636363636364</v>
      </c>
      <c r="G56" s="78" t="s">
        <v>123</v>
      </c>
      <c r="H56" s="113">
        <f>H51*H45/(B11*1000*B35*0.000001)*1000</f>
        <v>22.727272727272727</v>
      </c>
      <c r="I56" s="78" t="s">
        <v>123</v>
      </c>
      <c r="J56" s="113">
        <f>J51*J45/(B11*1000*B35*0.000001)*1000</f>
        <v>15.18181818181818</v>
      </c>
      <c r="K56" s="78" t="s">
        <v>123</v>
      </c>
      <c r="L56" s="113">
        <f>L51*L45/(B11*1000*B35*0.000001)*1000</f>
        <v>13.636363636363638</v>
      </c>
      <c r="M56" s="78" t="s">
        <v>123</v>
      </c>
      <c r="N56" s="54" t="s">
        <v>180</v>
      </c>
    </row>
    <row r="57" spans="1:17" ht="15.75" thickTop="1" x14ac:dyDescent="0.25">
      <c r="B57" s="26"/>
      <c r="C57" s="27"/>
    </row>
    <row r="58" spans="1:17" x14ac:dyDescent="0.25">
      <c r="B58" s="26"/>
      <c r="C58" s="27"/>
    </row>
    <row r="59" spans="1:17" ht="18.75" x14ac:dyDescent="0.3">
      <c r="A59" s="2" t="s">
        <v>18</v>
      </c>
    </row>
    <row r="60" spans="1:17" ht="15.75" thickBot="1" x14ac:dyDescent="0.3"/>
    <row r="61" spans="1:17" ht="16.5" thickTop="1" thickBot="1" x14ac:dyDescent="0.3">
      <c r="A61" s="3" t="s">
        <v>0</v>
      </c>
      <c r="B61" s="3" t="s">
        <v>1</v>
      </c>
      <c r="C61" s="3" t="s">
        <v>7</v>
      </c>
      <c r="D61" s="3" t="s">
        <v>1</v>
      </c>
      <c r="E61" s="3" t="s">
        <v>7</v>
      </c>
      <c r="F61" s="3" t="s">
        <v>1</v>
      </c>
      <c r="G61" s="3" t="s">
        <v>182</v>
      </c>
      <c r="H61" s="3" t="s">
        <v>1</v>
      </c>
      <c r="I61" s="3" t="s">
        <v>7</v>
      </c>
      <c r="J61" s="3" t="s">
        <v>1</v>
      </c>
      <c r="K61" s="3" t="s">
        <v>7</v>
      </c>
      <c r="L61" s="3" t="s">
        <v>1</v>
      </c>
      <c r="M61" s="3" t="s">
        <v>7</v>
      </c>
    </row>
    <row r="62" spans="1:17" ht="15.75" thickTop="1" x14ac:dyDescent="0.25">
      <c r="A62" s="32" t="s">
        <v>39</v>
      </c>
      <c r="B62" s="98">
        <f>B42</f>
        <v>2.5</v>
      </c>
      <c r="C62" s="77" t="s">
        <v>181</v>
      </c>
      <c r="D62" s="98">
        <f>D42</f>
        <v>3.33</v>
      </c>
      <c r="E62" s="77" t="s">
        <v>181</v>
      </c>
      <c r="F62" s="98">
        <f>F42</f>
        <v>3.5</v>
      </c>
      <c r="G62" s="77" t="s">
        <v>181</v>
      </c>
      <c r="H62" s="98">
        <f>H42</f>
        <v>2.5</v>
      </c>
      <c r="I62" s="77" t="s">
        <v>181</v>
      </c>
      <c r="J62" s="98">
        <f>J42</f>
        <v>3.33</v>
      </c>
      <c r="K62" s="77" t="s">
        <v>181</v>
      </c>
      <c r="L62" s="98">
        <f>L42</f>
        <v>3.5</v>
      </c>
      <c r="M62" s="77" t="s">
        <v>181</v>
      </c>
    </row>
    <row r="63" spans="1:17" x14ac:dyDescent="0.25">
      <c r="A63" s="6" t="s">
        <v>16</v>
      </c>
      <c r="B63" s="98">
        <f>B44</f>
        <v>50</v>
      </c>
      <c r="C63" s="77" t="s">
        <v>19</v>
      </c>
      <c r="D63" s="98">
        <f>D44</f>
        <v>50</v>
      </c>
      <c r="E63" s="77" t="s">
        <v>19</v>
      </c>
      <c r="F63" s="98">
        <f>F44</f>
        <v>50</v>
      </c>
      <c r="G63" s="77" t="s">
        <v>19</v>
      </c>
      <c r="H63" s="98">
        <f>H44</f>
        <v>5</v>
      </c>
      <c r="I63" s="77" t="s">
        <v>19</v>
      </c>
      <c r="J63" s="98">
        <f>J44</f>
        <v>5</v>
      </c>
      <c r="K63" s="81" t="s">
        <v>19</v>
      </c>
      <c r="L63" s="98">
        <f>L44</f>
        <v>5</v>
      </c>
      <c r="M63" s="81" t="s">
        <v>19</v>
      </c>
    </row>
    <row r="64" spans="1:17" x14ac:dyDescent="0.25">
      <c r="A64" s="6" t="s">
        <v>17</v>
      </c>
      <c r="B64" s="98">
        <f>B45</f>
        <v>0.5</v>
      </c>
      <c r="C64" s="77"/>
      <c r="D64" s="98">
        <f>D45</f>
        <v>0.33399999999999996</v>
      </c>
      <c r="E64" s="77"/>
      <c r="F64" s="98">
        <f>F45</f>
        <v>0.30000000000000004</v>
      </c>
      <c r="G64" s="77"/>
      <c r="H64" s="98">
        <f>H45</f>
        <v>0.5</v>
      </c>
      <c r="I64" s="77"/>
      <c r="J64" s="98">
        <f>J45</f>
        <v>0.33399999999999996</v>
      </c>
      <c r="K64" s="81"/>
      <c r="L64" s="98">
        <f>L45</f>
        <v>0.30000000000000004</v>
      </c>
      <c r="M64" s="81"/>
    </row>
    <row r="65" spans="1:13" x14ac:dyDescent="0.25">
      <c r="A65" s="6" t="s">
        <v>184</v>
      </c>
      <c r="B65" s="119">
        <v>4.4859999999999998</v>
      </c>
      <c r="C65" s="77" t="s">
        <v>3</v>
      </c>
      <c r="D65" s="119">
        <v>4.4669999999999996</v>
      </c>
      <c r="E65" s="123" t="s">
        <v>3</v>
      </c>
      <c r="F65" s="119">
        <v>4.9852999999999996</v>
      </c>
      <c r="G65" s="123"/>
      <c r="H65" s="119">
        <v>4.4589999999999996</v>
      </c>
      <c r="I65" s="123" t="s">
        <v>3</v>
      </c>
      <c r="J65" s="119">
        <v>4.4546700000000001</v>
      </c>
      <c r="K65" s="124" t="s">
        <v>3</v>
      </c>
      <c r="L65" s="119">
        <v>4.4869000000000003</v>
      </c>
      <c r="M65" s="124" t="s">
        <v>3</v>
      </c>
    </row>
    <row r="66" spans="1:13" x14ac:dyDescent="0.25">
      <c r="A66" s="6" t="s">
        <v>185</v>
      </c>
      <c r="B66" s="119">
        <v>0.40200000000000002</v>
      </c>
      <c r="C66" s="77" t="s">
        <v>4</v>
      </c>
      <c r="D66" s="129">
        <v>0.39900000000000002</v>
      </c>
      <c r="E66" s="123" t="s">
        <v>4</v>
      </c>
      <c r="F66" s="119">
        <v>0.40473599999999998</v>
      </c>
      <c r="G66" s="123"/>
      <c r="H66" s="119">
        <v>3.9769000000000001</v>
      </c>
      <c r="I66" s="123" t="s">
        <v>4</v>
      </c>
      <c r="J66" s="119">
        <v>3.9687999999999999</v>
      </c>
      <c r="K66" s="124" t="s">
        <v>4</v>
      </c>
      <c r="L66" s="119">
        <v>4.0259999999999998</v>
      </c>
      <c r="M66" s="124" t="s">
        <v>4</v>
      </c>
    </row>
    <row r="67" spans="1:13" x14ac:dyDescent="0.25">
      <c r="A67" s="32" t="s">
        <v>170</v>
      </c>
      <c r="B67" s="111" t="str">
        <f>IF(B68&gt;=B69/2,"Yes","No")</f>
        <v>Yes</v>
      </c>
      <c r="C67" s="77"/>
      <c r="D67" s="125" t="str">
        <f>IF(D68&gt;=D69/2,"Yes","No")</f>
        <v>Yes</v>
      </c>
      <c r="E67" s="123"/>
      <c r="F67" s="125" t="str">
        <f>IF(F68&gt;=F69/2,"Yes","No")</f>
        <v>Yes</v>
      </c>
      <c r="G67" s="123"/>
      <c r="H67" s="125" t="str">
        <f>IF(H68&gt;=H69/2,"Yes","No")</f>
        <v>Yes</v>
      </c>
      <c r="I67" s="123"/>
      <c r="J67" s="125" t="str">
        <f>IF(J68&gt;=J69/2,"Yes","No")</f>
        <v>Yes</v>
      </c>
      <c r="K67" s="124"/>
      <c r="L67" s="125" t="str">
        <f>IF(L68&gt;=L69/2,"Yes","No")</f>
        <v>Yes</v>
      </c>
      <c r="M67" s="124"/>
    </row>
    <row r="68" spans="1:13" x14ac:dyDescent="0.25">
      <c r="A68" s="32" t="s">
        <v>46</v>
      </c>
      <c r="B68" s="118">
        <v>0.17100000000000001</v>
      </c>
      <c r="C68" s="77"/>
      <c r="D68" s="118">
        <v>0.13300000000000001</v>
      </c>
      <c r="E68" s="123"/>
      <c r="F68" s="119">
        <v>0.1285</v>
      </c>
      <c r="G68" s="123"/>
      <c r="H68" s="118">
        <v>1.7837000000000001</v>
      </c>
      <c r="I68" s="123"/>
      <c r="J68" s="118">
        <v>1.3297099999999999</v>
      </c>
      <c r="K68" s="126"/>
      <c r="L68" s="118">
        <v>1.2819400000000001</v>
      </c>
      <c r="M68" s="123"/>
    </row>
    <row r="69" spans="1:13" x14ac:dyDescent="0.25">
      <c r="A69" s="32" t="s">
        <v>45</v>
      </c>
      <c r="B69" s="118">
        <v>0.25</v>
      </c>
      <c r="C69" s="77" t="s">
        <v>20</v>
      </c>
      <c r="D69" s="118">
        <v>0.219</v>
      </c>
      <c r="E69" s="123" t="s">
        <v>20</v>
      </c>
      <c r="F69" s="119">
        <v>0.20984</v>
      </c>
      <c r="G69" s="123" t="s">
        <v>20</v>
      </c>
      <c r="H69" s="118">
        <v>0.24640000000000001</v>
      </c>
      <c r="I69" s="123" t="s">
        <v>20</v>
      </c>
      <c r="J69" s="118">
        <v>0.218</v>
      </c>
      <c r="K69" s="123" t="s">
        <v>20</v>
      </c>
      <c r="L69" s="118">
        <v>0.20846000000000001</v>
      </c>
      <c r="M69" s="123" t="s">
        <v>20</v>
      </c>
    </row>
    <row r="70" spans="1:13" x14ac:dyDescent="0.25">
      <c r="A70" s="6" t="s">
        <v>48</v>
      </c>
      <c r="B70" s="119">
        <v>0.30299999999999999</v>
      </c>
      <c r="C70" s="77" t="s">
        <v>20</v>
      </c>
      <c r="D70" s="119">
        <v>0.24199999999999999</v>
      </c>
      <c r="E70" s="123" t="s">
        <v>20</v>
      </c>
      <c r="F70" s="119">
        <v>0.2334</v>
      </c>
      <c r="G70" s="123" t="s">
        <v>20</v>
      </c>
      <c r="H70" s="119">
        <v>1.9069</v>
      </c>
      <c r="I70" s="123" t="s">
        <v>20</v>
      </c>
      <c r="J70" s="119">
        <v>1.4386000000000001</v>
      </c>
      <c r="K70" s="123" t="s">
        <v>20</v>
      </c>
      <c r="L70" s="119">
        <v>1.3859999999999999</v>
      </c>
      <c r="M70" s="123" t="s">
        <v>20</v>
      </c>
    </row>
    <row r="71" spans="1:13" x14ac:dyDescent="0.25">
      <c r="A71" s="6" t="s">
        <v>47</v>
      </c>
      <c r="B71" s="119">
        <v>0.19500000000000001</v>
      </c>
      <c r="C71" s="77" t="s">
        <v>20</v>
      </c>
      <c r="D71" s="119">
        <v>0.14760000000000001</v>
      </c>
      <c r="E71" s="123" t="s">
        <v>20</v>
      </c>
      <c r="F71" s="119">
        <v>0.1421</v>
      </c>
      <c r="G71" s="123" t="s">
        <v>20</v>
      </c>
      <c r="H71" s="119">
        <v>1.7851999999999999</v>
      </c>
      <c r="I71" s="123" t="s">
        <v>20</v>
      </c>
      <c r="J71" s="119">
        <v>1.3311999999999999</v>
      </c>
      <c r="K71" s="123" t="s">
        <v>20</v>
      </c>
      <c r="L71" s="119">
        <v>1.28335</v>
      </c>
      <c r="M71" s="123" t="s">
        <v>20</v>
      </c>
    </row>
    <row r="72" spans="1:13" x14ac:dyDescent="0.25">
      <c r="A72" s="23" t="s">
        <v>49</v>
      </c>
      <c r="B72" s="120">
        <v>8.8999999999999996E-2</v>
      </c>
      <c r="C72" s="77" t="s">
        <v>20</v>
      </c>
      <c r="D72" s="120">
        <v>8.8999999999999996E-2</v>
      </c>
      <c r="E72" s="123" t="s">
        <v>20</v>
      </c>
      <c r="F72" s="120">
        <v>8.9969999999999994E-2</v>
      </c>
      <c r="G72" s="123" t="s">
        <v>20</v>
      </c>
      <c r="H72" s="120">
        <v>0.89190000000000003</v>
      </c>
      <c r="I72" s="123" t="s">
        <v>20</v>
      </c>
      <c r="J72" s="120">
        <v>0.89090000000000003</v>
      </c>
      <c r="K72" s="123" t="s">
        <v>20</v>
      </c>
      <c r="L72" s="120">
        <v>0.89729999999999999</v>
      </c>
      <c r="M72" s="123" t="s">
        <v>20</v>
      </c>
    </row>
    <row r="73" spans="1:13" x14ac:dyDescent="0.25">
      <c r="A73" s="23" t="s">
        <v>51</v>
      </c>
      <c r="B73" s="120">
        <v>0.13700000000000001</v>
      </c>
      <c r="C73" s="77" t="s">
        <v>20</v>
      </c>
      <c r="D73" s="120">
        <v>8.7529999999999997E-2</v>
      </c>
      <c r="E73" s="123" t="s">
        <v>20</v>
      </c>
      <c r="F73" s="120">
        <v>7.7780000000000002E-2</v>
      </c>
      <c r="G73" s="123" t="s">
        <v>20</v>
      </c>
      <c r="H73" s="120">
        <v>1.2622899999999999</v>
      </c>
      <c r="I73" s="123" t="s">
        <v>20</v>
      </c>
      <c r="J73" s="120">
        <v>0.76467399999999996</v>
      </c>
      <c r="K73" s="123" t="s">
        <v>20</v>
      </c>
      <c r="L73" s="120">
        <v>0.70287999999999995</v>
      </c>
      <c r="M73" s="123" t="s">
        <v>20</v>
      </c>
    </row>
    <row r="74" spans="1:13" x14ac:dyDescent="0.25">
      <c r="A74" s="23" t="s">
        <v>50</v>
      </c>
      <c r="B74" s="120">
        <v>0.10290000000000001</v>
      </c>
      <c r="C74" s="77" t="s">
        <v>20</v>
      </c>
      <c r="D74" s="120">
        <v>8.1699999999999995E-2</v>
      </c>
      <c r="E74" s="123" t="s">
        <v>20</v>
      </c>
      <c r="F74" s="120">
        <v>7.7700000000000005E-2</v>
      </c>
      <c r="G74" s="123" t="s">
        <v>20</v>
      </c>
      <c r="H74" s="120">
        <v>0.89244000000000001</v>
      </c>
      <c r="I74" s="123" t="s">
        <v>20</v>
      </c>
      <c r="J74" s="120">
        <v>0.62675800000000004</v>
      </c>
      <c r="K74" s="123" t="s">
        <v>20</v>
      </c>
      <c r="L74" s="120">
        <v>0.58899999999999997</v>
      </c>
      <c r="M74" s="123" t="s">
        <v>20</v>
      </c>
    </row>
    <row r="75" spans="1:13" x14ac:dyDescent="0.25">
      <c r="A75" s="6" t="s">
        <v>52</v>
      </c>
      <c r="B75" s="120">
        <v>4.9965999999999999</v>
      </c>
      <c r="C75" s="77" t="s">
        <v>3</v>
      </c>
      <c r="D75" s="120">
        <v>4.9698000000000002</v>
      </c>
      <c r="E75" s="123" t="s">
        <v>3</v>
      </c>
      <c r="F75" s="120">
        <v>4.9989999999999997</v>
      </c>
      <c r="G75" s="123" t="s">
        <v>3</v>
      </c>
      <c r="H75" s="120">
        <v>4.9733499999999999</v>
      </c>
      <c r="I75" s="123" t="s">
        <v>3</v>
      </c>
      <c r="J75" s="120">
        <v>4.9626000000000001</v>
      </c>
      <c r="K75" s="123" t="s">
        <v>3</v>
      </c>
      <c r="L75" s="120">
        <v>4.9939999999999998</v>
      </c>
      <c r="M75" s="123" t="s">
        <v>3</v>
      </c>
    </row>
    <row r="76" spans="1:13" x14ac:dyDescent="0.25">
      <c r="A76" s="122" t="s">
        <v>53</v>
      </c>
      <c r="B76" s="120">
        <v>4.4980000000000002</v>
      </c>
      <c r="C76" s="117" t="s">
        <v>3</v>
      </c>
      <c r="D76" s="120">
        <v>4.4669999999999996</v>
      </c>
      <c r="E76" s="127" t="s">
        <v>3</v>
      </c>
      <c r="F76" s="120">
        <v>4.4978400000000001</v>
      </c>
      <c r="G76" s="127" t="s">
        <v>3</v>
      </c>
      <c r="H76" s="120">
        <v>4.4318499999999998</v>
      </c>
      <c r="I76" s="127" t="s">
        <v>3</v>
      </c>
      <c r="J76" s="120">
        <v>4.4320000000000004</v>
      </c>
      <c r="K76" s="127" t="s">
        <v>3</v>
      </c>
      <c r="L76" s="120">
        <v>4.4645999999999999</v>
      </c>
      <c r="M76" s="127" t="s">
        <v>3</v>
      </c>
    </row>
    <row r="77" spans="1:13" ht="15.75" thickBot="1" x14ac:dyDescent="0.3">
      <c r="A77" s="9" t="s">
        <v>54</v>
      </c>
      <c r="B77" s="121">
        <v>2.5999999999999999E-3</v>
      </c>
      <c r="C77" s="78" t="s">
        <v>3</v>
      </c>
      <c r="D77" s="121">
        <v>2.1299999999999999E-3</v>
      </c>
      <c r="E77" s="128" t="s">
        <v>3</v>
      </c>
      <c r="F77" s="121">
        <v>2.0799999999999998E-3</v>
      </c>
      <c r="G77" s="128" t="s">
        <v>3</v>
      </c>
      <c r="H77" s="121">
        <v>2.8500000000000001E-2</v>
      </c>
      <c r="I77" s="128" t="s">
        <v>3</v>
      </c>
      <c r="J77" s="121">
        <v>1.9400000000000001E-2</v>
      </c>
      <c r="K77" s="128" t="s">
        <v>3</v>
      </c>
      <c r="L77" s="121">
        <v>1.7999999999999999E-2</v>
      </c>
      <c r="M77" s="128" t="s">
        <v>3</v>
      </c>
    </row>
    <row r="78" spans="1:13" ht="15.75" thickTop="1" x14ac:dyDescent="0.25">
      <c r="D78" t="s">
        <v>183</v>
      </c>
    </row>
    <row r="80" spans="1:13" ht="18.75" x14ac:dyDescent="0.3">
      <c r="A80" s="2" t="s">
        <v>21</v>
      </c>
    </row>
    <row r="81" spans="1:3" ht="15.75" thickBot="1" x14ac:dyDescent="0.3"/>
    <row r="82" spans="1:3" ht="16.5" thickTop="1" thickBot="1" x14ac:dyDescent="0.3">
      <c r="A82" s="3" t="s">
        <v>0</v>
      </c>
      <c r="B82" s="3" t="s">
        <v>1</v>
      </c>
      <c r="C82" s="3" t="s">
        <v>7</v>
      </c>
    </row>
    <row r="83" spans="1:3" ht="15.75" thickTop="1" x14ac:dyDescent="0.25">
      <c r="A83" s="4" t="s">
        <v>126</v>
      </c>
      <c r="B83" s="5">
        <v>1</v>
      </c>
      <c r="C83" s="13" t="s">
        <v>3</v>
      </c>
    </row>
    <row r="84" spans="1:3" x14ac:dyDescent="0.25">
      <c r="A84" s="14" t="s">
        <v>127</v>
      </c>
      <c r="B84" s="28">
        <v>4</v>
      </c>
      <c r="C84" s="16" t="s">
        <v>3</v>
      </c>
    </row>
    <row r="85" spans="1:3" x14ac:dyDescent="0.25">
      <c r="A85" s="14" t="s">
        <v>22</v>
      </c>
      <c r="B85" s="28">
        <v>2.5</v>
      </c>
      <c r="C85" s="29" t="s">
        <v>3</v>
      </c>
    </row>
    <row r="86" spans="1:3" ht="15.75" x14ac:dyDescent="0.25">
      <c r="A86" s="37" t="s">
        <v>132</v>
      </c>
      <c r="B86" s="30">
        <v>22</v>
      </c>
      <c r="C86" s="17" t="s">
        <v>23</v>
      </c>
    </row>
    <row r="87" spans="1:3" x14ac:dyDescent="0.25">
      <c r="A87" s="37" t="s">
        <v>131</v>
      </c>
      <c r="B87" s="28">
        <v>1</v>
      </c>
      <c r="C87" s="17" t="s">
        <v>24</v>
      </c>
    </row>
    <row r="88" spans="1:3" x14ac:dyDescent="0.25">
      <c r="A88" s="37" t="s">
        <v>130</v>
      </c>
      <c r="B88" s="15">
        <v>17.2</v>
      </c>
      <c r="C88" s="17" t="s">
        <v>25</v>
      </c>
    </row>
    <row r="89" spans="1:3" x14ac:dyDescent="0.25">
      <c r="A89" s="37" t="s">
        <v>129</v>
      </c>
      <c r="B89" s="15">
        <v>0.47</v>
      </c>
      <c r="C89" s="17" t="s">
        <v>136</v>
      </c>
    </row>
    <row r="90" spans="1:3" x14ac:dyDescent="0.25">
      <c r="A90" s="37" t="s">
        <v>133</v>
      </c>
      <c r="B90" s="15">
        <v>1</v>
      </c>
      <c r="C90" s="17" t="s">
        <v>137</v>
      </c>
    </row>
    <row r="91" spans="1:3" x14ac:dyDescent="0.25">
      <c r="A91" s="37" t="s">
        <v>134</v>
      </c>
      <c r="B91" s="15">
        <v>100</v>
      </c>
      <c r="C91" s="17" t="s">
        <v>138</v>
      </c>
    </row>
    <row r="92" spans="1:3" x14ac:dyDescent="0.25">
      <c r="A92" s="37" t="s">
        <v>135</v>
      </c>
      <c r="B92" s="72">
        <v>160</v>
      </c>
      <c r="C92" s="17" t="s">
        <v>139</v>
      </c>
    </row>
    <row r="93" spans="1:3" x14ac:dyDescent="0.25">
      <c r="A93" s="37" t="s">
        <v>26</v>
      </c>
      <c r="B93" s="15">
        <v>10</v>
      </c>
      <c r="C93" s="17" t="s">
        <v>140</v>
      </c>
    </row>
    <row r="94" spans="1:3" x14ac:dyDescent="0.25">
      <c r="A94" s="37" t="s">
        <v>27</v>
      </c>
      <c r="B94" s="15">
        <v>10</v>
      </c>
      <c r="C94" s="17" t="s">
        <v>141</v>
      </c>
    </row>
    <row r="95" spans="1:3" x14ac:dyDescent="0.25">
      <c r="A95" s="37" t="s">
        <v>128</v>
      </c>
      <c r="B95" s="15">
        <v>33000</v>
      </c>
      <c r="C95" s="17" t="s">
        <v>142</v>
      </c>
    </row>
    <row r="96" spans="1:3" x14ac:dyDescent="0.25">
      <c r="A96" s="14" t="s">
        <v>124</v>
      </c>
      <c r="B96" s="28">
        <v>4.7</v>
      </c>
      <c r="C96" s="17" t="s">
        <v>28</v>
      </c>
    </row>
    <row r="97" spans="1:13" x14ac:dyDescent="0.25">
      <c r="A97" s="14" t="s">
        <v>125</v>
      </c>
      <c r="B97" s="28">
        <v>10</v>
      </c>
      <c r="C97" s="17" t="s">
        <v>28</v>
      </c>
    </row>
    <row r="98" spans="1:13" x14ac:dyDescent="0.25">
      <c r="A98" s="14" t="s">
        <v>29</v>
      </c>
      <c r="B98" s="15"/>
      <c r="C98" s="17"/>
    </row>
    <row r="99" spans="1:13" ht="15.75" thickBot="1" x14ac:dyDescent="0.3">
      <c r="A99" s="9" t="s">
        <v>30</v>
      </c>
      <c r="B99" s="19"/>
      <c r="C99" s="18"/>
    </row>
    <row r="100" spans="1:13" ht="15.75" thickTop="1" x14ac:dyDescent="0.25"/>
    <row r="102" spans="1:13" ht="18.75" x14ac:dyDescent="0.3">
      <c r="A102" s="2" t="s">
        <v>31</v>
      </c>
    </row>
    <row r="103" spans="1:13" ht="15.75" thickBot="1" x14ac:dyDescent="0.3"/>
    <row r="104" spans="1:13" ht="16.5" thickTop="1" thickBot="1" x14ac:dyDescent="0.3">
      <c r="A104" s="3" t="s">
        <v>0</v>
      </c>
      <c r="B104" s="3" t="s">
        <v>1</v>
      </c>
      <c r="C104" s="3" t="s">
        <v>7</v>
      </c>
      <c r="D104" s="3" t="s">
        <v>1</v>
      </c>
      <c r="E104" s="3" t="s">
        <v>7</v>
      </c>
      <c r="F104" s="3"/>
      <c r="G104" s="3"/>
      <c r="H104" s="3" t="s">
        <v>1</v>
      </c>
      <c r="I104" s="3" t="s">
        <v>7</v>
      </c>
      <c r="J104" s="3" t="s">
        <v>1</v>
      </c>
      <c r="K104" s="3" t="s">
        <v>7</v>
      </c>
      <c r="L104" s="3"/>
      <c r="M104" s="3"/>
    </row>
    <row r="105" spans="1:13" ht="15.75" thickTop="1" x14ac:dyDescent="0.25">
      <c r="A105" s="6" t="s">
        <v>16</v>
      </c>
      <c r="B105" s="7">
        <f>B44</f>
        <v>50</v>
      </c>
      <c r="C105" s="20" t="s">
        <v>19</v>
      </c>
      <c r="D105" s="7">
        <f>D44</f>
        <v>50</v>
      </c>
      <c r="E105" s="20" t="s">
        <v>19</v>
      </c>
      <c r="F105" s="7">
        <f>F44</f>
        <v>50</v>
      </c>
      <c r="G105" s="20" t="s">
        <v>19</v>
      </c>
      <c r="H105" s="7">
        <f>H44</f>
        <v>5</v>
      </c>
      <c r="I105" s="20" t="s">
        <v>19</v>
      </c>
      <c r="J105" s="7">
        <f>L44</f>
        <v>5</v>
      </c>
      <c r="K105" s="21" t="s">
        <v>19</v>
      </c>
      <c r="L105" s="27"/>
      <c r="M105" s="27"/>
    </row>
    <row r="106" spans="1:13" x14ac:dyDescent="0.25">
      <c r="A106" s="6" t="s">
        <v>32</v>
      </c>
      <c r="B106" s="7">
        <v>2.5</v>
      </c>
      <c r="C106" s="20" t="s">
        <v>3</v>
      </c>
      <c r="D106" s="7">
        <v>2.5</v>
      </c>
      <c r="E106" s="20" t="s">
        <v>3</v>
      </c>
      <c r="F106" s="7">
        <v>2.5</v>
      </c>
      <c r="G106" s="20" t="s">
        <v>3</v>
      </c>
      <c r="H106" s="7">
        <v>2.5</v>
      </c>
      <c r="I106" s="20" t="s">
        <v>3</v>
      </c>
      <c r="J106" s="7">
        <v>2.5</v>
      </c>
      <c r="K106" s="21" t="s">
        <v>3</v>
      </c>
      <c r="L106" s="27"/>
      <c r="M106" s="27"/>
    </row>
    <row r="107" spans="1:13" x14ac:dyDescent="0.25">
      <c r="A107" s="6" t="s">
        <v>33</v>
      </c>
      <c r="B107" s="22"/>
      <c r="C107" s="20" t="s">
        <v>3</v>
      </c>
      <c r="D107" s="22"/>
      <c r="E107" s="20" t="s">
        <v>3</v>
      </c>
      <c r="F107" s="20"/>
      <c r="G107" s="20" t="s">
        <v>3</v>
      </c>
      <c r="H107" s="22"/>
      <c r="I107" s="20" t="s">
        <v>3</v>
      </c>
      <c r="J107" s="22"/>
      <c r="K107" s="21" t="s">
        <v>3</v>
      </c>
      <c r="L107" s="27"/>
      <c r="M107" s="27"/>
    </row>
    <row r="108" spans="1:13" ht="15.75" thickBot="1" x14ac:dyDescent="0.3">
      <c r="A108" s="9" t="s">
        <v>34</v>
      </c>
      <c r="B108" s="19"/>
      <c r="C108" s="24" t="s">
        <v>35</v>
      </c>
      <c r="D108" s="19"/>
      <c r="E108" s="24" t="s">
        <v>35</v>
      </c>
      <c r="F108" s="24"/>
      <c r="G108" s="24" t="s">
        <v>35</v>
      </c>
      <c r="H108" s="19"/>
      <c r="I108" s="24" t="s">
        <v>35</v>
      </c>
      <c r="J108" s="19"/>
      <c r="K108" s="25" t="s">
        <v>35</v>
      </c>
      <c r="L108" s="27"/>
      <c r="M108" s="27"/>
    </row>
    <row r="109" spans="1:13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BEBE-0653-9F47-A6A6-5BE371CF043D}">
  <dimension ref="A2:M35"/>
  <sheetViews>
    <sheetView topLeftCell="A16" workbookViewId="0">
      <selection activeCell="F3" sqref="F3"/>
    </sheetView>
  </sheetViews>
  <sheetFormatPr defaultColWidth="11.42578125" defaultRowHeight="15" x14ac:dyDescent="0.25"/>
  <cols>
    <col min="1" max="2" width="15.42578125" customWidth="1"/>
    <col min="3" max="3" width="21" bestFit="1" customWidth="1"/>
    <col min="4" max="4" width="24.42578125" customWidth="1"/>
  </cols>
  <sheetData>
    <row r="2" spans="1:12" x14ac:dyDescent="0.25">
      <c r="A2" t="s">
        <v>186</v>
      </c>
      <c r="B2" t="s">
        <v>14</v>
      </c>
    </row>
    <row r="4" spans="1:12" x14ac:dyDescent="0.25">
      <c r="A4" t="s">
        <v>187</v>
      </c>
      <c r="B4" t="s">
        <v>188</v>
      </c>
      <c r="C4" t="s">
        <v>189</v>
      </c>
      <c r="D4" t="s">
        <v>209</v>
      </c>
    </row>
    <row r="5" spans="1:12" x14ac:dyDescent="0.25">
      <c r="A5" t="s">
        <v>190</v>
      </c>
      <c r="B5">
        <v>5</v>
      </c>
      <c r="C5" s="133">
        <v>4.4859999999999998</v>
      </c>
      <c r="D5">
        <f>100*(C5-B5)/B5</f>
        <v>-10.280000000000005</v>
      </c>
    </row>
    <row r="6" spans="1:12" x14ac:dyDescent="0.25">
      <c r="A6" t="s">
        <v>191</v>
      </c>
      <c r="B6">
        <v>5</v>
      </c>
      <c r="C6" s="133">
        <v>4.4669999999999996</v>
      </c>
      <c r="D6">
        <f>100*(C6-B6)/B6</f>
        <v>-10.660000000000007</v>
      </c>
    </row>
    <row r="7" spans="1:12" x14ac:dyDescent="0.25">
      <c r="A7" t="s">
        <v>192</v>
      </c>
      <c r="B7">
        <v>5</v>
      </c>
      <c r="C7" s="133">
        <v>4.9852999999999996</v>
      </c>
      <c r="D7">
        <f>100*(C7-B7)/B7</f>
        <v>-0.29400000000000759</v>
      </c>
    </row>
    <row r="8" spans="1:12" x14ac:dyDescent="0.25">
      <c r="A8" t="s">
        <v>193</v>
      </c>
      <c r="B8">
        <v>5</v>
      </c>
      <c r="C8" s="133">
        <v>4.4589999999999996</v>
      </c>
      <c r="D8">
        <f t="shared" ref="D8:D10" si="0">100*(C8-B8)/B8</f>
        <v>-10.820000000000007</v>
      </c>
    </row>
    <row r="9" spans="1:12" x14ac:dyDescent="0.25">
      <c r="A9" t="s">
        <v>194</v>
      </c>
      <c r="B9">
        <v>5</v>
      </c>
      <c r="C9" s="133">
        <v>4.4546700000000001</v>
      </c>
      <c r="D9">
        <f t="shared" si="0"/>
        <v>-10.906599999999997</v>
      </c>
    </row>
    <row r="10" spans="1:12" x14ac:dyDescent="0.25">
      <c r="A10" t="s">
        <v>195</v>
      </c>
      <c r="B10">
        <v>5</v>
      </c>
      <c r="C10" s="133">
        <v>4.4869000000000003</v>
      </c>
      <c r="D10">
        <f t="shared" si="0"/>
        <v>-10.261999999999993</v>
      </c>
    </row>
    <row r="12" spans="1:12" x14ac:dyDescent="0.25">
      <c r="A12" t="s">
        <v>196</v>
      </c>
      <c r="C12" s="130"/>
    </row>
    <row r="13" spans="1:12" x14ac:dyDescent="0.25">
      <c r="A13" t="s">
        <v>187</v>
      </c>
      <c r="B13" t="s">
        <v>197</v>
      </c>
      <c r="C13" t="s">
        <v>198</v>
      </c>
      <c r="D13" t="s">
        <v>209</v>
      </c>
    </row>
    <row r="14" spans="1:12" x14ac:dyDescent="0.25">
      <c r="A14" t="s">
        <v>204</v>
      </c>
      <c r="B14" s="54">
        <v>0.32500000000000007</v>
      </c>
      <c r="C14" s="131">
        <v>0.30299999999999999</v>
      </c>
      <c r="D14" s="54">
        <f>100*(C14-B14)/B14</f>
        <v>-6.7692307692307905</v>
      </c>
      <c r="F14" s="134"/>
      <c r="H14" s="134"/>
      <c r="I14" s="134"/>
      <c r="J14" s="134"/>
      <c r="L14" s="134"/>
    </row>
    <row r="15" spans="1:12" x14ac:dyDescent="0.25">
      <c r="A15" t="s">
        <v>199</v>
      </c>
      <c r="B15" s="54">
        <v>0.26137215015015014</v>
      </c>
      <c r="C15" s="134">
        <v>0.24199999999999999</v>
      </c>
      <c r="D15" s="54">
        <f t="shared" ref="D15:D19" si="1">100*(C15-B15)/B15</f>
        <v>-7.4117116682176931</v>
      </c>
    </row>
    <row r="16" spans="1:12" x14ac:dyDescent="0.25">
      <c r="A16" t="s">
        <v>200</v>
      </c>
      <c r="B16" s="54">
        <v>0.24785714285714289</v>
      </c>
      <c r="C16" s="134">
        <v>0.2334</v>
      </c>
      <c r="D16" s="54">
        <f t="shared" si="1"/>
        <v>-5.832853025936612</v>
      </c>
    </row>
    <row r="17" spans="1:13" x14ac:dyDescent="0.25">
      <c r="A17" t="s">
        <v>201</v>
      </c>
      <c r="B17" s="54">
        <v>2.125</v>
      </c>
      <c r="C17" s="134">
        <v>1.9069</v>
      </c>
      <c r="D17" s="54">
        <f t="shared" si="1"/>
        <v>-10.263529411764704</v>
      </c>
    </row>
    <row r="18" spans="1:13" x14ac:dyDescent="0.25">
      <c r="A18" t="s">
        <v>202</v>
      </c>
      <c r="B18" s="54">
        <v>1.6516512015015015</v>
      </c>
      <c r="C18" s="134">
        <v>1.4386000000000001</v>
      </c>
      <c r="D18" s="54">
        <f t="shared" si="1"/>
        <v>-12.899285352005219</v>
      </c>
    </row>
    <row r="19" spans="1:13" x14ac:dyDescent="0.25">
      <c r="A19" t="s">
        <v>203</v>
      </c>
      <c r="B19" s="54">
        <v>1.5335714285714286</v>
      </c>
      <c r="C19" s="134">
        <v>1.3859999999999999</v>
      </c>
      <c r="D19" s="54">
        <f t="shared" si="1"/>
        <v>-9.6227293898463042</v>
      </c>
    </row>
    <row r="20" spans="1:13" x14ac:dyDescent="0.25">
      <c r="D20" s="136"/>
    </row>
    <row r="21" spans="1:13" x14ac:dyDescent="0.25">
      <c r="A21" t="s">
        <v>187</v>
      </c>
      <c r="B21" t="s">
        <v>205</v>
      </c>
      <c r="C21" t="s">
        <v>206</v>
      </c>
      <c r="D21" s="136" t="s">
        <v>209</v>
      </c>
    </row>
    <row r="22" spans="1:13" x14ac:dyDescent="0.25">
      <c r="A22" t="s">
        <v>204</v>
      </c>
      <c r="B22" s="54">
        <v>0.2126225137028846</v>
      </c>
      <c r="C22" s="131">
        <v>0.19500000000000001</v>
      </c>
      <c r="D22" s="54">
        <f>100*(C22-B22)/B22</f>
        <v>-8.2881692046544124</v>
      </c>
      <c r="E22" s="27"/>
      <c r="G22" s="27"/>
      <c r="I22" s="27"/>
      <c r="K22" s="27"/>
      <c r="M22" s="27"/>
    </row>
    <row r="23" spans="1:13" x14ac:dyDescent="0.25">
      <c r="A23" t="s">
        <v>199</v>
      </c>
      <c r="B23" s="54">
        <v>0.16330496629959737</v>
      </c>
      <c r="C23" s="131">
        <v>0.14760000000000001</v>
      </c>
      <c r="D23" s="54">
        <f t="shared" ref="D23:D27" si="2">100*(C23-B23)/B23</f>
        <v>-9.6169557212272512</v>
      </c>
    </row>
    <row r="24" spans="1:13" x14ac:dyDescent="0.25">
      <c r="A24" t="s">
        <v>200</v>
      </c>
      <c r="B24" s="54">
        <v>0.15518751001709552</v>
      </c>
      <c r="C24" s="131">
        <v>0.1421</v>
      </c>
      <c r="D24" s="54">
        <f t="shared" si="2"/>
        <v>-8.4333526684291744</v>
      </c>
    </row>
    <row r="25" spans="1:13" x14ac:dyDescent="0.25">
      <c r="A25" t="s">
        <v>201</v>
      </c>
      <c r="B25" s="54">
        <v>2.0013016597538047</v>
      </c>
      <c r="C25" s="131">
        <v>1.7851999999999999</v>
      </c>
      <c r="D25" s="54">
        <f t="shared" si="2"/>
        <v>-10.798055290694611</v>
      </c>
    </row>
    <row r="26" spans="1:13" x14ac:dyDescent="0.25">
      <c r="A26" t="s">
        <v>202</v>
      </c>
      <c r="B26" s="54">
        <v>1.504001907073689</v>
      </c>
      <c r="C26" s="131">
        <v>1.3311999999999999</v>
      </c>
      <c r="D26" s="54">
        <f t="shared" si="2"/>
        <v>-11.489473933574111</v>
      </c>
    </row>
    <row r="27" spans="1:13" x14ac:dyDescent="0.25">
      <c r="A27" t="s">
        <v>203</v>
      </c>
      <c r="B27" s="54">
        <v>1.4298571000385361</v>
      </c>
      <c r="C27" s="131">
        <v>1.28335</v>
      </c>
      <c r="D27" s="54">
        <f t="shared" si="2"/>
        <v>-10.246275661713856</v>
      </c>
    </row>
    <row r="28" spans="1:13" x14ac:dyDescent="0.25">
      <c r="C28" s="135"/>
      <c r="D28" s="136"/>
    </row>
    <row r="29" spans="1:13" x14ac:dyDescent="0.25">
      <c r="A29" t="s">
        <v>187</v>
      </c>
      <c r="B29" t="s">
        <v>207</v>
      </c>
      <c r="C29" s="131" t="s">
        <v>208</v>
      </c>
      <c r="D29" s="136" t="s">
        <v>209</v>
      </c>
    </row>
    <row r="30" spans="1:13" x14ac:dyDescent="0.25">
      <c r="A30" t="s">
        <v>204</v>
      </c>
      <c r="B30" s="59">
        <v>2.27272727272727E-3</v>
      </c>
      <c r="C30" s="132">
        <v>2.5999999999999999E-3</v>
      </c>
      <c r="D30" s="54">
        <f>100*(C30-B30)/B30</f>
        <v>14.400000000000132</v>
      </c>
      <c r="F30" s="134"/>
      <c r="H30" s="134"/>
      <c r="J30" s="134"/>
      <c r="L30" s="134"/>
    </row>
    <row r="31" spans="1:13" x14ac:dyDescent="0.25">
      <c r="A31" t="s">
        <v>199</v>
      </c>
      <c r="B31" s="59">
        <v>1.51818181818182E-3</v>
      </c>
      <c r="C31" s="59">
        <v>2.1299999999999999E-3</v>
      </c>
      <c r="D31" s="54">
        <f t="shared" ref="D31:D35" si="3">100*(C31-B31)/B31</f>
        <v>40.299401197604624</v>
      </c>
    </row>
    <row r="32" spans="1:13" x14ac:dyDescent="0.25">
      <c r="A32" t="s">
        <v>200</v>
      </c>
      <c r="B32" s="59">
        <v>1.3636363636363601E-3</v>
      </c>
      <c r="C32" s="59">
        <v>2.0799999999999998E-3</v>
      </c>
      <c r="D32" s="54">
        <f t="shared" si="3"/>
        <v>52.533333333333715</v>
      </c>
    </row>
    <row r="33" spans="1:4" x14ac:dyDescent="0.25">
      <c r="A33" t="s">
        <v>201</v>
      </c>
      <c r="B33" s="59">
        <v>2.27272727272727E-2</v>
      </c>
      <c r="C33" s="59">
        <v>2.8500000000000001E-2</v>
      </c>
      <c r="D33" s="54">
        <f t="shared" si="3"/>
        <v>25.400000000000151</v>
      </c>
    </row>
    <row r="34" spans="1:4" x14ac:dyDescent="0.25">
      <c r="A34" t="s">
        <v>202</v>
      </c>
      <c r="B34" s="59">
        <v>1.5181818181818201E-2</v>
      </c>
      <c r="C34" s="59">
        <v>1.9400000000000001E-2</v>
      </c>
      <c r="D34" s="54">
        <f t="shared" si="3"/>
        <v>27.784431137724397</v>
      </c>
    </row>
    <row r="35" spans="1:4" x14ac:dyDescent="0.25">
      <c r="A35" t="s">
        <v>203</v>
      </c>
      <c r="B35" s="59">
        <v>1.3636363636363599E-2</v>
      </c>
      <c r="C35" s="59">
        <v>1.7999999999999999E-2</v>
      </c>
      <c r="D35" s="54">
        <f t="shared" si="3"/>
        <v>32.000000000000348</v>
      </c>
    </row>
  </sheetData>
  <phoneticPr fontId="1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E7BD-D892-9C41-A58F-C60D9CA691D3}">
  <dimension ref="A16:J74"/>
  <sheetViews>
    <sheetView topLeftCell="A16" workbookViewId="0">
      <selection activeCell="D27" sqref="D27"/>
    </sheetView>
  </sheetViews>
  <sheetFormatPr defaultColWidth="11.42578125" defaultRowHeight="15" x14ac:dyDescent="0.25"/>
  <cols>
    <col min="1" max="1" width="20.85546875" customWidth="1"/>
    <col min="2" max="2" width="31.7109375" customWidth="1"/>
    <col min="3" max="3" width="62.140625" customWidth="1"/>
    <col min="4" max="5" width="20.85546875" customWidth="1"/>
    <col min="6" max="6" width="15.140625" customWidth="1"/>
    <col min="7" max="7" width="27.42578125" customWidth="1"/>
  </cols>
  <sheetData>
    <row r="16" spans="1:3" ht="30" customHeight="1" x14ac:dyDescent="0.25">
      <c r="A16" t="s">
        <v>210</v>
      </c>
      <c r="B16" t="s">
        <v>241</v>
      </c>
      <c r="C16" t="s">
        <v>240</v>
      </c>
    </row>
    <row r="17" spans="1:10" ht="30" customHeight="1" x14ac:dyDescent="0.25">
      <c r="A17" t="s">
        <v>211</v>
      </c>
      <c r="B17" t="s">
        <v>217</v>
      </c>
      <c r="C17" t="s">
        <v>218</v>
      </c>
      <c r="F17" s="139"/>
      <c r="G17" s="139"/>
    </row>
    <row r="18" spans="1:10" ht="30" customHeight="1" x14ac:dyDescent="0.25">
      <c r="A18" t="s">
        <v>212</v>
      </c>
      <c r="B18" t="s">
        <v>219</v>
      </c>
      <c r="C18" t="s">
        <v>220</v>
      </c>
      <c r="D18" s="140">
        <v>13</v>
      </c>
      <c r="E18" s="141" t="s">
        <v>245</v>
      </c>
      <c r="F18" s="141" t="s">
        <v>244</v>
      </c>
      <c r="G18" s="141" t="s">
        <v>246</v>
      </c>
      <c r="H18" s="141" t="s">
        <v>247</v>
      </c>
      <c r="I18" s="141" t="s">
        <v>248</v>
      </c>
      <c r="J18" s="141" t="s">
        <v>249</v>
      </c>
    </row>
    <row r="19" spans="1:10" ht="30" customHeight="1" x14ac:dyDescent="0.25">
      <c r="A19" t="s">
        <v>213</v>
      </c>
      <c r="B19" t="s">
        <v>221</v>
      </c>
      <c r="C19" t="s">
        <v>222</v>
      </c>
      <c r="D19" s="140">
        <v>37</v>
      </c>
      <c r="E19" s="141" t="s">
        <v>221</v>
      </c>
      <c r="F19" t="s">
        <v>250</v>
      </c>
      <c r="G19" s="141" t="s">
        <v>251</v>
      </c>
      <c r="H19" s="141" t="s">
        <v>252</v>
      </c>
      <c r="I19" s="140" t="s">
        <v>248</v>
      </c>
      <c r="J19" s="141" t="s">
        <v>253</v>
      </c>
    </row>
    <row r="20" spans="1:10" ht="30" customHeight="1" x14ac:dyDescent="0.25">
      <c r="A20" t="s">
        <v>214</v>
      </c>
      <c r="B20" t="s">
        <v>223</v>
      </c>
      <c r="C20" t="s">
        <v>224</v>
      </c>
      <c r="D20" s="144" t="s">
        <v>255</v>
      </c>
    </row>
    <row r="21" spans="1:10" ht="30" customHeight="1" x14ac:dyDescent="0.25">
      <c r="A21" t="s">
        <v>215</v>
      </c>
      <c r="B21" t="s">
        <v>225</v>
      </c>
      <c r="C21" t="s">
        <v>227</v>
      </c>
    </row>
    <row r="22" spans="1:10" ht="30" customHeight="1" x14ac:dyDescent="0.25">
      <c r="A22" t="s">
        <v>216</v>
      </c>
      <c r="B22" t="s">
        <v>226</v>
      </c>
      <c r="C22" t="s">
        <v>228</v>
      </c>
    </row>
    <row r="23" spans="1:10" ht="30" customHeight="1" x14ac:dyDescent="0.25">
      <c r="A23" t="s">
        <v>229</v>
      </c>
      <c r="B23" t="s">
        <v>233</v>
      </c>
      <c r="C23" t="s">
        <v>235</v>
      </c>
    </row>
    <row r="24" spans="1:10" ht="30" customHeight="1" x14ac:dyDescent="0.25">
      <c r="A24" s="138" t="s">
        <v>230</v>
      </c>
      <c r="B24" s="138" t="s">
        <v>234</v>
      </c>
      <c r="C24" s="138" t="s">
        <v>238</v>
      </c>
    </row>
    <row r="25" spans="1:10" ht="30" customHeight="1" x14ac:dyDescent="0.25">
      <c r="A25" t="s">
        <v>231</v>
      </c>
      <c r="B25" t="s">
        <v>236</v>
      </c>
      <c r="C25" t="s">
        <v>237</v>
      </c>
      <c r="D25">
        <v>6</v>
      </c>
      <c r="E25" s="141" t="s">
        <v>256</v>
      </c>
      <c r="F25" s="140" t="s">
        <v>257</v>
      </c>
      <c r="G25" s="141" t="s">
        <v>258</v>
      </c>
      <c r="H25" s="141" t="s">
        <v>259</v>
      </c>
      <c r="I25" s="140" t="s">
        <v>248</v>
      </c>
      <c r="J25" s="140" t="s">
        <v>260</v>
      </c>
    </row>
    <row r="26" spans="1:10" ht="30" customHeight="1" x14ac:dyDescent="0.25">
      <c r="A26" s="138" t="s">
        <v>232</v>
      </c>
      <c r="B26" s="138" t="s">
        <v>234</v>
      </c>
      <c r="C26" s="138" t="s">
        <v>238</v>
      </c>
    </row>
    <row r="27" spans="1:10" ht="30" customHeight="1" x14ac:dyDescent="0.25"/>
    <row r="28" spans="1:10" ht="30" customHeight="1" x14ac:dyDescent="0.25">
      <c r="A28" s="138" t="s">
        <v>239</v>
      </c>
    </row>
    <row r="29" spans="1:10" ht="30" customHeight="1" x14ac:dyDescent="0.25"/>
    <row r="30" spans="1:10" ht="30" customHeight="1" x14ac:dyDescent="0.25"/>
    <row r="31" spans="1:10" ht="30" customHeight="1" x14ac:dyDescent="0.25"/>
    <row r="32" spans="1:10" ht="30" customHeight="1" x14ac:dyDescent="0.25"/>
    <row r="33" spans="1:4" ht="30" customHeight="1" x14ac:dyDescent="0.25">
      <c r="A33" s="139" t="s">
        <v>262</v>
      </c>
      <c r="B33" s="139" t="s">
        <v>263</v>
      </c>
      <c r="C33" s="139" t="s">
        <v>264</v>
      </c>
      <c r="D33" s="139" t="s">
        <v>240</v>
      </c>
    </row>
    <row r="34" spans="1:4" x14ac:dyDescent="0.25">
      <c r="A34" s="139" t="s">
        <v>265</v>
      </c>
      <c r="B34" t="s">
        <v>211</v>
      </c>
      <c r="C34" s="139" t="s">
        <v>266</v>
      </c>
      <c r="D34" t="s">
        <v>267</v>
      </c>
    </row>
    <row r="35" spans="1:4" x14ac:dyDescent="0.25">
      <c r="B35" t="s">
        <v>212</v>
      </c>
      <c r="C35" s="139" t="s">
        <v>268</v>
      </c>
      <c r="D35" t="s">
        <v>269</v>
      </c>
    </row>
    <row r="36" spans="1:4" x14ac:dyDescent="0.25">
      <c r="B36" t="s">
        <v>213</v>
      </c>
      <c r="C36" s="139" t="s">
        <v>270</v>
      </c>
      <c r="D36" t="s">
        <v>271</v>
      </c>
    </row>
    <row r="37" spans="1:4" x14ac:dyDescent="0.25">
      <c r="B37" t="s">
        <v>214</v>
      </c>
      <c r="C37" s="139" t="s">
        <v>272</v>
      </c>
      <c r="D37" t="s">
        <v>273</v>
      </c>
    </row>
    <row r="38" spans="1:4" x14ac:dyDescent="0.25">
      <c r="B38" t="s">
        <v>215</v>
      </c>
      <c r="C38" s="139" t="s">
        <v>225</v>
      </c>
      <c r="D38" t="s">
        <v>274</v>
      </c>
    </row>
    <row r="39" spans="1:4" x14ac:dyDescent="0.25">
      <c r="B39" t="s">
        <v>216</v>
      </c>
      <c r="C39" s="139" t="s">
        <v>275</v>
      </c>
      <c r="D39" t="s">
        <v>228</v>
      </c>
    </row>
    <row r="40" spans="1:4" x14ac:dyDescent="0.25">
      <c r="A40" s="139" t="s">
        <v>276</v>
      </c>
      <c r="B40" t="s">
        <v>229</v>
      </c>
      <c r="C40" s="139" t="s">
        <v>233</v>
      </c>
      <c r="D40" t="s">
        <v>277</v>
      </c>
    </row>
    <row r="41" spans="1:4" x14ac:dyDescent="0.25">
      <c r="B41" t="s">
        <v>278</v>
      </c>
      <c r="C41" s="139" t="s">
        <v>279</v>
      </c>
      <c r="D41" t="s">
        <v>280</v>
      </c>
    </row>
    <row r="42" spans="1:4" x14ac:dyDescent="0.25">
      <c r="B42" t="s">
        <v>231</v>
      </c>
      <c r="C42" s="139" t="s">
        <v>281</v>
      </c>
      <c r="D42" t="s">
        <v>282</v>
      </c>
    </row>
    <row r="43" spans="1:4" x14ac:dyDescent="0.25">
      <c r="B43" t="s">
        <v>283</v>
      </c>
      <c r="C43" s="139" t="s">
        <v>284</v>
      </c>
      <c r="D43" t="s">
        <v>285</v>
      </c>
    </row>
    <row r="44" spans="1:4" x14ac:dyDescent="0.25">
      <c r="A44" s="139" t="s">
        <v>286</v>
      </c>
      <c r="B44" t="s">
        <v>287</v>
      </c>
      <c r="C44" s="139" t="s">
        <v>288</v>
      </c>
      <c r="D44" t="s">
        <v>289</v>
      </c>
    </row>
    <row r="45" spans="1:4" x14ac:dyDescent="0.25">
      <c r="B45" t="s">
        <v>290</v>
      </c>
      <c r="C45" s="139" t="s">
        <v>291</v>
      </c>
      <c r="D45" t="s">
        <v>292</v>
      </c>
    </row>
    <row r="46" spans="1:4" x14ac:dyDescent="0.25">
      <c r="B46" t="s">
        <v>293</v>
      </c>
      <c r="C46" s="139" t="s">
        <v>294</v>
      </c>
      <c r="D46" t="s">
        <v>295</v>
      </c>
    </row>
    <row r="47" spans="1:4" x14ac:dyDescent="0.25">
      <c r="A47" s="139" t="s">
        <v>296</v>
      </c>
      <c r="B47" t="s">
        <v>297</v>
      </c>
      <c r="C47" s="139" t="s">
        <v>298</v>
      </c>
      <c r="D47" t="s">
        <v>299</v>
      </c>
    </row>
    <row r="48" spans="1:4" x14ac:dyDescent="0.25">
      <c r="B48" t="s">
        <v>300</v>
      </c>
      <c r="C48" s="139" t="s">
        <v>301</v>
      </c>
      <c r="D48" t="s">
        <v>299</v>
      </c>
    </row>
    <row r="49" spans="1:4" x14ac:dyDescent="0.25">
      <c r="A49" s="139" t="s">
        <v>302</v>
      </c>
      <c r="B49" t="s">
        <v>303</v>
      </c>
      <c r="C49" s="139" t="s">
        <v>304</v>
      </c>
      <c r="D49" t="s">
        <v>305</v>
      </c>
    </row>
    <row r="50" spans="1:4" x14ac:dyDescent="0.25">
      <c r="B50" t="s">
        <v>306</v>
      </c>
      <c r="C50" s="139" t="s">
        <v>307</v>
      </c>
      <c r="D50" t="s">
        <v>308</v>
      </c>
    </row>
    <row r="51" spans="1:4" x14ac:dyDescent="0.25">
      <c r="B51" t="s">
        <v>309</v>
      </c>
      <c r="C51" s="139" t="s">
        <v>310</v>
      </c>
      <c r="D51" t="s">
        <v>311</v>
      </c>
    </row>
    <row r="52" spans="1:4" x14ac:dyDescent="0.25">
      <c r="B52" t="s">
        <v>312</v>
      </c>
      <c r="C52" s="139" t="s">
        <v>313</v>
      </c>
      <c r="D52" t="s">
        <v>314</v>
      </c>
    </row>
    <row r="53" spans="1:4" x14ac:dyDescent="0.25">
      <c r="B53" t="s">
        <v>315</v>
      </c>
      <c r="C53" s="139" t="s">
        <v>316</v>
      </c>
      <c r="D53" t="s">
        <v>317</v>
      </c>
    </row>
    <row r="54" spans="1:4" x14ac:dyDescent="0.25">
      <c r="A54" s="139" t="s">
        <v>318</v>
      </c>
      <c r="B54" t="s">
        <v>319</v>
      </c>
      <c r="C54" s="139" t="s">
        <v>320</v>
      </c>
      <c r="D54" t="s">
        <v>321</v>
      </c>
    </row>
    <row r="55" spans="1:4" x14ac:dyDescent="0.25">
      <c r="B55" t="s">
        <v>322</v>
      </c>
      <c r="C55" s="139" t="s">
        <v>323</v>
      </c>
      <c r="D55" t="s">
        <v>324</v>
      </c>
    </row>
    <row r="56" spans="1:4" x14ac:dyDescent="0.25">
      <c r="B56" t="s">
        <v>325</v>
      </c>
      <c r="C56" s="139" t="s">
        <v>326</v>
      </c>
      <c r="D56" t="s">
        <v>327</v>
      </c>
    </row>
    <row r="57" spans="1:4" x14ac:dyDescent="0.25">
      <c r="B57" t="s">
        <v>328</v>
      </c>
      <c r="C57" s="139" t="s">
        <v>329</v>
      </c>
      <c r="D57" t="s">
        <v>330</v>
      </c>
    </row>
    <row r="58" spans="1:4" x14ac:dyDescent="0.25">
      <c r="A58" s="139" t="s">
        <v>331</v>
      </c>
      <c r="B58" t="s">
        <v>332</v>
      </c>
      <c r="C58" s="139" t="s">
        <v>333</v>
      </c>
      <c r="D58" t="s">
        <v>334</v>
      </c>
    </row>
    <row r="59" spans="1:4" x14ac:dyDescent="0.25">
      <c r="B59" t="s">
        <v>335</v>
      </c>
      <c r="C59" s="139" t="s">
        <v>336</v>
      </c>
      <c r="D59" t="s">
        <v>337</v>
      </c>
    </row>
    <row r="60" spans="1:4" x14ac:dyDescent="0.25">
      <c r="B60" t="s">
        <v>338</v>
      </c>
      <c r="C60" s="139" t="s">
        <v>339</v>
      </c>
      <c r="D60" t="s">
        <v>340</v>
      </c>
    </row>
    <row r="61" spans="1:4" x14ac:dyDescent="0.25">
      <c r="A61" s="139" t="s">
        <v>341</v>
      </c>
      <c r="B61" t="s">
        <v>342</v>
      </c>
      <c r="C61" s="139" t="s">
        <v>343</v>
      </c>
      <c r="D61" t="s">
        <v>344</v>
      </c>
    </row>
    <row r="62" spans="1:4" x14ac:dyDescent="0.25">
      <c r="B62" t="s">
        <v>345</v>
      </c>
      <c r="C62" s="139" t="s">
        <v>346</v>
      </c>
      <c r="D62" t="s">
        <v>347</v>
      </c>
    </row>
    <row r="63" spans="1:4" ht="15.75" x14ac:dyDescent="0.3">
      <c r="A63" s="139" t="s">
        <v>348</v>
      </c>
      <c r="B63" t="s">
        <v>349</v>
      </c>
      <c r="C63" s="139" t="s">
        <v>350</v>
      </c>
      <c r="D63" t="s">
        <v>351</v>
      </c>
    </row>
    <row r="64" spans="1:4" x14ac:dyDescent="0.25">
      <c r="B64" t="s">
        <v>352</v>
      </c>
      <c r="C64" s="139" t="s">
        <v>343</v>
      </c>
      <c r="D64" t="s">
        <v>353</v>
      </c>
    </row>
    <row r="65" spans="1:4" x14ac:dyDescent="0.25">
      <c r="B65" t="s">
        <v>354</v>
      </c>
      <c r="C65" s="139" t="s">
        <v>355</v>
      </c>
      <c r="D65" t="s">
        <v>356</v>
      </c>
    </row>
    <row r="66" spans="1:4" x14ac:dyDescent="0.25">
      <c r="B66" t="s">
        <v>357</v>
      </c>
      <c r="C66" s="139" t="s">
        <v>358</v>
      </c>
      <c r="D66" t="s">
        <v>359</v>
      </c>
    </row>
    <row r="67" spans="1:4" x14ac:dyDescent="0.25">
      <c r="A67" s="139" t="s">
        <v>360</v>
      </c>
      <c r="B67" t="s">
        <v>361</v>
      </c>
      <c r="C67" s="139" t="s">
        <v>320</v>
      </c>
      <c r="D67" t="s">
        <v>362</v>
      </c>
    </row>
    <row r="68" spans="1:4" x14ac:dyDescent="0.25">
      <c r="B68" t="s">
        <v>363</v>
      </c>
      <c r="C68" s="139" t="s">
        <v>364</v>
      </c>
      <c r="D68" t="s">
        <v>365</v>
      </c>
    </row>
    <row r="69" spans="1:4" x14ac:dyDescent="0.25">
      <c r="A69" s="139" t="s">
        <v>366</v>
      </c>
      <c r="B69" t="s">
        <v>367</v>
      </c>
      <c r="C69" s="139" t="s">
        <v>368</v>
      </c>
      <c r="D69" t="s">
        <v>369</v>
      </c>
    </row>
    <row r="70" spans="1:4" x14ac:dyDescent="0.25">
      <c r="B70" t="s">
        <v>370</v>
      </c>
      <c r="C70" s="139" t="s">
        <v>371</v>
      </c>
      <c r="D70" t="s">
        <v>372</v>
      </c>
    </row>
    <row r="71" spans="1:4" x14ac:dyDescent="0.25">
      <c r="B71" t="s">
        <v>373</v>
      </c>
      <c r="C71" s="139" t="s">
        <v>374</v>
      </c>
      <c r="D71" t="s">
        <v>375</v>
      </c>
    </row>
    <row r="72" spans="1:4" x14ac:dyDescent="0.25">
      <c r="B72" t="s">
        <v>376</v>
      </c>
      <c r="C72" s="139" t="s">
        <v>377</v>
      </c>
      <c r="D72" t="s">
        <v>378</v>
      </c>
    </row>
    <row r="73" spans="1:4" x14ac:dyDescent="0.25">
      <c r="B73" t="s">
        <v>379</v>
      </c>
      <c r="C73" s="139" t="s">
        <v>380</v>
      </c>
      <c r="D73" t="s">
        <v>381</v>
      </c>
    </row>
    <row r="74" spans="1:4" x14ac:dyDescent="0.25">
      <c r="B74" t="s">
        <v>382</v>
      </c>
      <c r="C74" s="139" t="s">
        <v>383</v>
      </c>
      <c r="D74" t="s">
        <v>384</v>
      </c>
    </row>
  </sheetData>
  <hyperlinks>
    <hyperlink ref="D20" r:id="rId1" xr:uid="{51A61373-5383-1643-94CD-687465F1187A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A05D-7210-44AC-859D-2846F0884F7B}">
  <dimension ref="A1:G54"/>
  <sheetViews>
    <sheetView tabSelected="1" topLeftCell="A17" zoomScale="109" workbookViewId="0">
      <selection activeCell="F58" sqref="F58"/>
    </sheetView>
  </sheetViews>
  <sheetFormatPr defaultColWidth="12" defaultRowHeight="15" x14ac:dyDescent="0.25"/>
  <cols>
    <col min="1" max="1" width="24.42578125" customWidth="1"/>
    <col min="2" max="9" width="12.85546875" customWidth="1"/>
  </cols>
  <sheetData>
    <row r="1" spans="1:3" ht="21" x14ac:dyDescent="0.35">
      <c r="A1" s="1" t="s">
        <v>91</v>
      </c>
    </row>
    <row r="3" spans="1:3" ht="18.75" x14ac:dyDescent="0.3">
      <c r="A3" s="2" t="s">
        <v>61</v>
      </c>
    </row>
    <row r="4" spans="1:3" ht="15.75" thickBot="1" x14ac:dyDescent="0.3"/>
    <row r="5" spans="1:3" ht="16.5" thickTop="1" thickBot="1" x14ac:dyDescent="0.3">
      <c r="A5" s="3" t="s">
        <v>0</v>
      </c>
      <c r="B5" s="3" t="s">
        <v>1</v>
      </c>
      <c r="C5" s="3" t="s">
        <v>2</v>
      </c>
    </row>
    <row r="6" spans="1:3" ht="15.75" thickTop="1" x14ac:dyDescent="0.25">
      <c r="A6" s="31" t="s">
        <v>103</v>
      </c>
      <c r="B6" s="5">
        <f>SS_Analysis!B25</f>
        <v>50</v>
      </c>
      <c r="C6" s="17" t="s">
        <v>8</v>
      </c>
    </row>
    <row r="7" spans="1:3" x14ac:dyDescent="0.25">
      <c r="A7" s="32" t="s">
        <v>93</v>
      </c>
      <c r="B7" s="7">
        <f>SS_Analysis!H46</f>
        <v>2</v>
      </c>
      <c r="C7" s="8" t="s">
        <v>42</v>
      </c>
    </row>
    <row r="8" spans="1:3" x14ac:dyDescent="0.25">
      <c r="A8" s="32" t="s">
        <v>94</v>
      </c>
      <c r="B8" s="7">
        <f>SS_Analysis!H49</f>
        <v>2.125</v>
      </c>
      <c r="C8" s="8" t="s">
        <v>42</v>
      </c>
    </row>
    <row r="9" spans="1:3" x14ac:dyDescent="0.25">
      <c r="A9" s="32" t="s">
        <v>92</v>
      </c>
      <c r="B9" s="7">
        <f>SS_Analysis!H50</f>
        <v>2.0013016597538047</v>
      </c>
      <c r="C9" s="8" t="s">
        <v>42</v>
      </c>
    </row>
    <row r="10" spans="1:3" x14ac:dyDescent="0.25">
      <c r="A10" s="6" t="s">
        <v>62</v>
      </c>
      <c r="B10" s="7">
        <v>0.25</v>
      </c>
      <c r="C10" s="8" t="s">
        <v>63</v>
      </c>
    </row>
    <row r="11" spans="1:3" ht="15.75" thickBot="1" x14ac:dyDescent="0.3">
      <c r="A11" s="9" t="s">
        <v>5</v>
      </c>
      <c r="B11" s="10">
        <f>SS_Analysis!B11</f>
        <v>100</v>
      </c>
      <c r="C11" s="11" t="s">
        <v>6</v>
      </c>
    </row>
    <row r="12" spans="1:3" ht="16.5" thickTop="1" x14ac:dyDescent="0.25">
      <c r="A12" s="12"/>
    </row>
    <row r="14" spans="1:3" ht="18.75" x14ac:dyDescent="0.3">
      <c r="A14" s="2" t="s">
        <v>64</v>
      </c>
    </row>
    <row r="15" spans="1:3" ht="19.5" thickBot="1" x14ac:dyDescent="0.35">
      <c r="A15" s="2"/>
    </row>
    <row r="16" spans="1:3" ht="16.5" thickTop="1" thickBot="1" x14ac:dyDescent="0.3">
      <c r="A16" s="3" t="s">
        <v>0</v>
      </c>
      <c r="B16" s="3" t="s">
        <v>1</v>
      </c>
      <c r="C16" s="3" t="s">
        <v>2</v>
      </c>
    </row>
    <row r="17" spans="1:3" ht="15.75" thickTop="1" x14ac:dyDescent="0.25">
      <c r="A17" s="39" t="s">
        <v>65</v>
      </c>
      <c r="B17" s="40" t="s">
        <v>66</v>
      </c>
      <c r="C17" s="41"/>
    </row>
    <row r="18" spans="1:3" x14ac:dyDescent="0.25">
      <c r="A18" s="42" t="s">
        <v>67</v>
      </c>
      <c r="B18" s="43" t="s">
        <v>68</v>
      </c>
      <c r="C18" s="44"/>
    </row>
    <row r="19" spans="1:3" x14ac:dyDescent="0.25">
      <c r="A19" s="42" t="s">
        <v>69</v>
      </c>
      <c r="B19" s="45">
        <v>31</v>
      </c>
      <c r="C19" s="44" t="s">
        <v>70</v>
      </c>
    </row>
    <row r="20" spans="1:3" x14ac:dyDescent="0.25">
      <c r="A20" s="42" t="s">
        <v>71</v>
      </c>
      <c r="B20" s="45">
        <v>47</v>
      </c>
      <c r="C20" s="44" t="s">
        <v>72</v>
      </c>
    </row>
    <row r="21" spans="1:3" x14ac:dyDescent="0.25">
      <c r="A21" s="42" t="s">
        <v>73</v>
      </c>
      <c r="B21" s="45">
        <v>1460</v>
      </c>
      <c r="C21" s="44" t="s">
        <v>74</v>
      </c>
    </row>
    <row r="22" spans="1:3" x14ac:dyDescent="0.25">
      <c r="A22" s="42" t="s">
        <v>75</v>
      </c>
      <c r="B22" s="45">
        <v>28.1</v>
      </c>
      <c r="C22" s="44" t="s">
        <v>70</v>
      </c>
    </row>
    <row r="23" spans="1:3" x14ac:dyDescent="0.25">
      <c r="A23" s="42" t="s">
        <v>76</v>
      </c>
      <c r="B23" s="45">
        <v>40.200000000000003</v>
      </c>
      <c r="C23" s="44" t="s">
        <v>72</v>
      </c>
    </row>
    <row r="24" spans="1:3" x14ac:dyDescent="0.25">
      <c r="A24" s="42" t="s">
        <v>77</v>
      </c>
      <c r="B24" s="46">
        <v>1.7240999999999999E-8</v>
      </c>
      <c r="C24" s="44" t="s">
        <v>78</v>
      </c>
    </row>
    <row r="25" spans="1:3" x14ac:dyDescent="0.25">
      <c r="A25" s="42" t="s">
        <v>79</v>
      </c>
      <c r="B25" s="46">
        <f>PI()*0.0000004</f>
        <v>1.2566370614359173E-6</v>
      </c>
      <c r="C25" s="44" t="s">
        <v>80</v>
      </c>
    </row>
    <row r="26" spans="1:3" x14ac:dyDescent="0.25">
      <c r="A26" s="47" t="s">
        <v>81</v>
      </c>
      <c r="B26" s="48">
        <v>1510</v>
      </c>
      <c r="C26" s="44"/>
    </row>
    <row r="27" spans="1:3" ht="15.75" thickBot="1" x14ac:dyDescent="0.3">
      <c r="A27" s="49" t="s">
        <v>82</v>
      </c>
      <c r="B27" s="50">
        <v>0.5</v>
      </c>
      <c r="C27" s="51"/>
    </row>
    <row r="28" spans="1:3" ht="15.75" thickTop="1" x14ac:dyDescent="0.25"/>
    <row r="30" spans="1:3" ht="18.75" x14ac:dyDescent="0.3">
      <c r="A30" s="2" t="s">
        <v>83</v>
      </c>
    </row>
    <row r="31" spans="1:3" ht="15.75" thickBot="1" x14ac:dyDescent="0.3"/>
    <row r="32" spans="1:3" ht="16.5" thickTop="1" thickBot="1" x14ac:dyDescent="0.3">
      <c r="A32" s="3" t="s">
        <v>0</v>
      </c>
      <c r="B32" s="3" t="s">
        <v>1</v>
      </c>
      <c r="C32" s="3" t="s">
        <v>7</v>
      </c>
    </row>
    <row r="33" spans="1:7" ht="15.75" thickTop="1" x14ac:dyDescent="0.25">
      <c r="A33" s="39" t="s">
        <v>84</v>
      </c>
      <c r="B33" s="52">
        <v>0.1</v>
      </c>
      <c r="C33" s="53" t="s">
        <v>144</v>
      </c>
      <c r="G33" s="54"/>
    </row>
    <row r="34" spans="1:7" x14ac:dyDescent="0.25">
      <c r="A34" s="55" t="s">
        <v>85</v>
      </c>
      <c r="B34" s="56">
        <f>SQRT((B6*0.000001)*(B20*0.001+2*B33*0.001*B26)/(B25*B26*B19*0.000001))</f>
        <v>17.223581446549598</v>
      </c>
      <c r="C34" s="57" t="s">
        <v>145</v>
      </c>
      <c r="G34" s="54"/>
    </row>
    <row r="35" spans="1:7" x14ac:dyDescent="0.25">
      <c r="A35" s="55" t="s">
        <v>86</v>
      </c>
      <c r="B35" s="58">
        <f>(B6*0.000001*B8)/(B34*B19*0.000001)</f>
        <v>0.19899574112823815</v>
      </c>
      <c r="C35" s="57" t="s">
        <v>146</v>
      </c>
      <c r="F35" s="59"/>
      <c r="G35" s="54"/>
    </row>
    <row r="36" spans="1:7" ht="15.75" x14ac:dyDescent="0.25">
      <c r="A36" s="55" t="s">
        <v>87</v>
      </c>
      <c r="B36" s="60" t="str">
        <f>IF(B35&lt;=B10,"Yes","No")</f>
        <v>Yes</v>
      </c>
      <c r="C36" s="57"/>
      <c r="E36" s="12"/>
      <c r="F36" s="12"/>
      <c r="G36" s="12"/>
    </row>
    <row r="37" spans="1:7" x14ac:dyDescent="0.25">
      <c r="A37" s="55" t="s">
        <v>88</v>
      </c>
      <c r="B37" s="58">
        <f>SQRT((2*B24)/(2*PI()*B11*1000*B25))*1000</f>
        <v>0.2089783796937823</v>
      </c>
      <c r="C37" s="57" t="s">
        <v>147</v>
      </c>
    </row>
    <row r="38" spans="1:7" x14ac:dyDescent="0.25">
      <c r="A38" s="61" t="s">
        <v>96</v>
      </c>
      <c r="B38" s="137">
        <f>2*B37</f>
        <v>0.4179567593875646</v>
      </c>
      <c r="C38" s="57" t="s">
        <v>72</v>
      </c>
    </row>
    <row r="39" spans="1:7" x14ac:dyDescent="0.25">
      <c r="A39" s="61" t="s">
        <v>95</v>
      </c>
      <c r="B39" s="58">
        <f>(PI()*(B38)^2)/4</f>
        <v>0.13719951869236841</v>
      </c>
      <c r="C39" s="57" t="s">
        <v>148</v>
      </c>
    </row>
    <row r="40" spans="1:7" x14ac:dyDescent="0.25">
      <c r="A40" s="61" t="s">
        <v>254</v>
      </c>
      <c r="B40" s="58">
        <f>B9/B39</f>
        <v>14.586797962762279</v>
      </c>
      <c r="C40" s="57" t="s">
        <v>243</v>
      </c>
    </row>
    <row r="41" spans="1:7" x14ac:dyDescent="0.25">
      <c r="A41" s="61" t="s">
        <v>97</v>
      </c>
      <c r="B41" s="142">
        <f>ROUNDDOWN((B22*B27)/(B34*B39),0)</f>
        <v>5</v>
      </c>
      <c r="C41" s="57"/>
    </row>
    <row r="42" spans="1:7" x14ac:dyDescent="0.25">
      <c r="A42" s="61" t="s">
        <v>242</v>
      </c>
      <c r="B42" s="143">
        <f>B9/(B39*B41)</f>
        <v>2.9173595925524558</v>
      </c>
      <c r="C42" s="57" t="s">
        <v>243</v>
      </c>
    </row>
    <row r="43" spans="1:7" x14ac:dyDescent="0.25">
      <c r="A43" s="61" t="s">
        <v>98</v>
      </c>
      <c r="B43" s="58">
        <f>(B24*B23*0.001*B34)/(B39*0.000001*B41)*1000</f>
        <v>17.401607784220989</v>
      </c>
      <c r="C43" s="57" t="s">
        <v>149</v>
      </c>
    </row>
    <row r="44" spans="1:7" ht="15.75" thickBot="1" x14ac:dyDescent="0.3">
      <c r="A44" s="63" t="s">
        <v>89</v>
      </c>
      <c r="B44" s="64">
        <f>B9^2*B43</f>
        <v>69.6970645107601</v>
      </c>
      <c r="C44" s="65" t="s">
        <v>261</v>
      </c>
    </row>
    <row r="45" spans="1:7" ht="15.75" thickTop="1" x14ac:dyDescent="0.25">
      <c r="B45" s="54"/>
    </row>
    <row r="47" spans="1:7" ht="18.75" x14ac:dyDescent="0.3">
      <c r="A47" s="2" t="s">
        <v>99</v>
      </c>
    </row>
    <row r="48" spans="1:7" ht="15.75" thickBot="1" x14ac:dyDescent="0.3"/>
    <row r="49" spans="1:3" ht="16.5" thickTop="1" thickBot="1" x14ac:dyDescent="0.3">
      <c r="A49" s="3" t="s">
        <v>0</v>
      </c>
      <c r="B49" s="3" t="s">
        <v>1</v>
      </c>
      <c r="C49" s="3" t="s">
        <v>7</v>
      </c>
    </row>
    <row r="50" spans="1:3" ht="15.75" thickTop="1" x14ac:dyDescent="0.25">
      <c r="A50" s="61" t="s">
        <v>100</v>
      </c>
      <c r="B50" s="56"/>
      <c r="C50" s="57" t="s">
        <v>90</v>
      </c>
    </row>
    <row r="51" spans="1:3" x14ac:dyDescent="0.25">
      <c r="A51" s="55" t="s">
        <v>86</v>
      </c>
      <c r="B51" s="69"/>
      <c r="C51" s="44" t="s">
        <v>63</v>
      </c>
    </row>
    <row r="52" spans="1:3" x14ac:dyDescent="0.25">
      <c r="A52" s="61" t="s">
        <v>150</v>
      </c>
      <c r="B52" s="69"/>
      <c r="C52" s="44" t="s">
        <v>63</v>
      </c>
    </row>
    <row r="53" spans="1:3" ht="15.75" thickBot="1" x14ac:dyDescent="0.3">
      <c r="A53" s="62" t="s">
        <v>101</v>
      </c>
      <c r="B53" s="67"/>
      <c r="C53" s="68" t="s">
        <v>102</v>
      </c>
    </row>
    <row r="54" spans="1:3" ht="15.75" thickTop="1" x14ac:dyDescent="0.25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SS_Analysis</vt:lpstr>
      <vt:lpstr>Plots </vt:lpstr>
      <vt:lpstr>BOM</vt:lpstr>
      <vt:lpstr>Inductor_Design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Tiffany Marsh</cp:lastModifiedBy>
  <dcterms:created xsi:type="dcterms:W3CDTF">2025-12-20T08:56:10Z</dcterms:created>
  <dcterms:modified xsi:type="dcterms:W3CDTF">2026-08-22T08:50:35Z</dcterms:modified>
</cp:coreProperties>
</file>