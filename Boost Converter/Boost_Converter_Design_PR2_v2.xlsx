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tmar904_uoa_auckland_ac_nz/Documents/Documents/"/>
    </mc:Choice>
  </mc:AlternateContent>
  <xr:revisionPtr revIDLastSave="0" documentId="8_{8F1EBC66-358F-4381-8693-CDEA4AF73EEB}" xr6:coauthVersionLast="47" xr6:coauthVersionMax="47" xr10:uidLastSave="{00000000-0000-0000-0000-000000000000}"/>
  <bookViews>
    <workbookView xWindow="-120" yWindow="-120" windowWidth="29040" windowHeight="15720" xr2:uid="{0EA872C3-4804-43CB-9F0B-5F94DB7B4351}"/>
  </bookViews>
  <sheets>
    <sheet name="SS_Analysis" sheetId="1" r:id="rId1"/>
    <sheet name="Inductor_Desig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" l="1"/>
  <c r="J46" i="1"/>
  <c r="J51" i="1"/>
  <c r="J56" i="1" s="1"/>
  <c r="J54" i="1"/>
  <c r="J55" i="1"/>
  <c r="D45" i="1"/>
  <c r="D47" i="1" s="1"/>
  <c r="J64" i="1"/>
  <c r="F64" i="1"/>
  <c r="B67" i="1"/>
  <c r="L67" i="1"/>
  <c r="J67" i="1"/>
  <c r="H67" i="1"/>
  <c r="F67" i="1"/>
  <c r="D67" i="1"/>
  <c r="B24" i="1"/>
  <c r="L62" i="1"/>
  <c r="J62" i="1"/>
  <c r="H62" i="1"/>
  <c r="F62" i="1"/>
  <c r="D62" i="1"/>
  <c r="B62" i="1"/>
  <c r="J44" i="1"/>
  <c r="J63" i="1" s="1"/>
  <c r="L55" i="1"/>
  <c r="H55" i="1"/>
  <c r="F55" i="1"/>
  <c r="D55" i="1"/>
  <c r="B55" i="1"/>
  <c r="L54" i="1"/>
  <c r="H54" i="1"/>
  <c r="F54" i="1"/>
  <c r="D54" i="1"/>
  <c r="B54" i="1"/>
  <c r="L51" i="1"/>
  <c r="H51" i="1"/>
  <c r="F51" i="1"/>
  <c r="L46" i="1"/>
  <c r="H46" i="1"/>
  <c r="F46" i="1"/>
  <c r="L45" i="1"/>
  <c r="H45" i="1"/>
  <c r="H47" i="1" s="1"/>
  <c r="F45" i="1"/>
  <c r="F47" i="1" s="1"/>
  <c r="B45" i="1"/>
  <c r="B47" i="1" s="1"/>
  <c r="L44" i="1"/>
  <c r="L63" i="1" s="1"/>
  <c r="H44" i="1"/>
  <c r="F44" i="1"/>
  <c r="F105" i="1" s="1"/>
  <c r="B33" i="1"/>
  <c r="B32" i="1"/>
  <c r="B23" i="1"/>
  <c r="B22" i="1"/>
  <c r="B20" i="1"/>
  <c r="B19" i="1"/>
  <c r="B18" i="1"/>
  <c r="B17" i="1"/>
  <c r="J47" i="1" l="1"/>
  <c r="J53" i="1" s="1"/>
  <c r="J48" i="1"/>
  <c r="J49" i="1"/>
  <c r="J52" i="1"/>
  <c r="J50" i="1"/>
  <c r="H56" i="1"/>
  <c r="L56" i="1"/>
  <c r="L64" i="1"/>
  <c r="F52" i="1"/>
  <c r="H52" i="1"/>
  <c r="F56" i="1"/>
  <c r="H50" i="1"/>
  <c r="B34" i="1"/>
  <c r="F49" i="1"/>
  <c r="L47" i="1"/>
  <c r="L53" i="1" s="1"/>
  <c r="H53" i="1"/>
  <c r="F50" i="1"/>
  <c r="F53" i="1"/>
  <c r="L48" i="1"/>
  <c r="L52" i="1"/>
  <c r="H49" i="1"/>
  <c r="B11" i="2"/>
  <c r="B6" i="2"/>
  <c r="L49" i="1" l="1"/>
  <c r="L50" i="1"/>
  <c r="D43" i="1"/>
  <c r="B43" i="1"/>
  <c r="F63" i="1"/>
  <c r="D64" i="1"/>
  <c r="J105" i="1"/>
  <c r="H63" i="1"/>
  <c r="B44" i="1" l="1"/>
  <c r="B46" i="1"/>
  <c r="B48" i="1" s="1"/>
  <c r="B51" i="1"/>
  <c r="D46" i="1"/>
  <c r="D51" i="1"/>
  <c r="D44" i="1"/>
  <c r="D63" i="1" s="1"/>
  <c r="B64" i="1"/>
  <c r="B7" i="2"/>
  <c r="F48" i="1"/>
  <c r="H64" i="1"/>
  <c r="H105" i="1"/>
  <c r="D105" i="1" l="1"/>
  <c r="B105" i="1"/>
  <c r="B63" i="1"/>
  <c r="D49" i="1"/>
  <c r="D50" i="1"/>
  <c r="D52" i="1"/>
  <c r="D56" i="1"/>
  <c r="D53" i="1"/>
  <c r="B56" i="1"/>
  <c r="B53" i="1"/>
  <c r="B50" i="1"/>
  <c r="B49" i="1"/>
  <c r="B52" i="1"/>
  <c r="H48" i="1"/>
  <c r="B9" i="2"/>
  <c r="D48" i="1"/>
  <c r="B8" i="2"/>
  <c r="B36" i="2" s="1"/>
</calcChain>
</file>

<file path=xl/sharedStrings.xml><?xml version="1.0" encoding="utf-8"?>
<sst xmlns="http://schemas.openxmlformats.org/spreadsheetml/2006/main" count="450" uniqueCount="187">
  <si>
    <t>Parameter</t>
  </si>
  <si>
    <t>Value</t>
  </si>
  <si>
    <t>Unit</t>
  </si>
  <si>
    <t>V</t>
  </si>
  <si>
    <t>W</t>
  </si>
  <si>
    <t>Operating fs</t>
  </si>
  <si>
    <t>kHz</t>
  </si>
  <si>
    <t>Unit (eq)</t>
  </si>
  <si>
    <t>µH</t>
  </si>
  <si>
    <t>Evaluating Output Capacitor (Theoretical)</t>
  </si>
  <si>
    <t>Max Vo Ripple</t>
  </si>
  <si>
    <t>Min Co</t>
  </si>
  <si>
    <t>Selected Co</t>
  </si>
  <si>
    <t>Evaluating Steady-State Operating Conditions (Theoretical)</t>
  </si>
  <si>
    <t>Vout</t>
  </si>
  <si>
    <t>Pout</t>
  </si>
  <si>
    <t>RLoad</t>
  </si>
  <si>
    <t>Operating D</t>
  </si>
  <si>
    <t>Validating Steady-State Operating Conditions (Open-Loop Simulations)</t>
  </si>
  <si>
    <t xml:space="preserve">Ohms </t>
  </si>
  <si>
    <t xml:space="preserve">A </t>
  </si>
  <si>
    <t>UC3843 &amp; PI Controller Parameters (Theoretical)</t>
  </si>
  <si>
    <t>Vref for 5V Output</t>
  </si>
  <si>
    <t>Ohms</t>
  </si>
  <si>
    <t>nF</t>
  </si>
  <si>
    <t xml:space="preserve">kOhms </t>
  </si>
  <si>
    <t>Rva</t>
  </si>
  <si>
    <t>Rvb</t>
  </si>
  <si>
    <t>kOhms</t>
  </si>
  <si>
    <t>Selected Kp</t>
  </si>
  <si>
    <t>Selected Ki</t>
  </si>
  <si>
    <t>Validating PI Controller Operation (Closed-Loop Simulations)</t>
  </si>
  <si>
    <t>Vref</t>
  </si>
  <si>
    <t>Steady State Vout</t>
  </si>
  <si>
    <t>Settling Time (+/- 5%)</t>
  </si>
  <si>
    <t>ms</t>
  </si>
  <si>
    <t>Max Vin(avg)</t>
  </si>
  <si>
    <t>Min Vin(avg)</t>
  </si>
  <si>
    <t>Nominal Vout(avg)</t>
  </si>
  <si>
    <t>Vin</t>
  </si>
  <si>
    <t>Min Operating D</t>
  </si>
  <si>
    <t>Max Operating D</t>
  </si>
  <si>
    <t>A</t>
  </si>
  <si>
    <t>D for Max L for CCM</t>
  </si>
  <si>
    <t>Min L for CCM</t>
  </si>
  <si>
    <t>dIL</t>
  </si>
  <si>
    <t>Iin(avg) = IL(avg)</t>
  </si>
  <si>
    <t>Iin(rms) = IL(rms)</t>
  </si>
  <si>
    <t>Iin(pk) = IL(pk)</t>
  </si>
  <si>
    <t>Iout(avg) = ID(avg)</t>
  </si>
  <si>
    <t>IC(rms)</t>
  </si>
  <si>
    <t>ISw(rms)</t>
  </si>
  <si>
    <t>VSw(max)</t>
  </si>
  <si>
    <t>VD(max)</t>
  </si>
  <si>
    <t>dVout</t>
  </si>
  <si>
    <t>Evaluating Key Inductor Parameters for CCM (Theoretical)</t>
  </si>
  <si>
    <t>Max Pout(avg)</t>
  </si>
  <si>
    <t>Min Pout(avg)</t>
  </si>
  <si>
    <t>Boost Conveter Design - Part I</t>
  </si>
  <si>
    <t>Max IL(avg) = Iin(avg)</t>
  </si>
  <si>
    <t>Min IL(avg) = Iin(avg)</t>
  </si>
  <si>
    <t>Transformer Design Specifications</t>
  </si>
  <si>
    <t>Max Bmax</t>
  </si>
  <si>
    <t>T</t>
  </si>
  <si>
    <t>Core, Former &amp; Magnet Wire Details</t>
  </si>
  <si>
    <t>Core type</t>
  </si>
  <si>
    <t>EFD20</t>
  </si>
  <si>
    <t>Core material</t>
  </si>
  <si>
    <t>N97</t>
  </si>
  <si>
    <t>Ae</t>
  </si>
  <si>
    <t>mm^2</t>
  </si>
  <si>
    <t>le</t>
  </si>
  <si>
    <t>mm</t>
  </si>
  <si>
    <t>Ve</t>
  </si>
  <si>
    <t>mm^3</t>
  </si>
  <si>
    <t>AN</t>
  </si>
  <si>
    <t>ln</t>
  </si>
  <si>
    <t>Wire ρ</t>
  </si>
  <si>
    <t>Ωm</t>
  </si>
  <si>
    <t>µ0</t>
  </si>
  <si>
    <t>H/m</t>
  </si>
  <si>
    <t>µe</t>
  </si>
  <si>
    <t>Achievable Kf</t>
  </si>
  <si>
    <t>Evaluating Inductor Parameters</t>
  </si>
  <si>
    <t>Selected lg</t>
  </si>
  <si>
    <t>Np</t>
  </si>
  <si>
    <t>Bmax</t>
  </si>
  <si>
    <t>Bmax &lt; Max Bmax</t>
  </si>
  <si>
    <t>Skin Depth</t>
  </si>
  <si>
    <t xml:space="preserve">Max Rdc Loss in Lp </t>
  </si>
  <si>
    <t>uH</t>
  </si>
  <si>
    <t>Inductor Design - Part II</t>
  </si>
  <si>
    <t>Max RMS IL</t>
  </si>
  <si>
    <t>Max IL(avg)</t>
  </si>
  <si>
    <t>Max IL(pk)</t>
  </si>
  <si>
    <t>Wire Acu</t>
  </si>
  <si>
    <t>Selected Wire Diameter</t>
  </si>
  <si>
    <t>Parallel Wires</t>
  </si>
  <si>
    <t>Rdc of Inductor</t>
  </si>
  <si>
    <t>Experimental Results</t>
  </si>
  <si>
    <t>Inductance</t>
  </si>
  <si>
    <t>Rac</t>
  </si>
  <si>
    <t>mOhm</t>
  </si>
  <si>
    <t>Selected L</t>
  </si>
  <si>
    <t>(1-1)</t>
  </si>
  <si>
    <t>(1-2)</t>
  </si>
  <si>
    <t>A (1-3)</t>
  </si>
  <si>
    <t>A (1-4)</t>
  </si>
  <si>
    <t>(1-5)</t>
  </si>
  <si>
    <t>µH (1-6)</t>
  </si>
  <si>
    <t>µF (1-7)</t>
  </si>
  <si>
    <t>µF</t>
  </si>
  <si>
    <t>Ohms (1-8)</t>
  </si>
  <si>
    <t>(1-9)</t>
  </si>
  <si>
    <t>A (1-10)</t>
  </si>
  <si>
    <t>A (1-11)</t>
  </si>
  <si>
    <t>A (1-12)</t>
  </si>
  <si>
    <t>A (1-13)</t>
  </si>
  <si>
    <t>A (1-14)</t>
  </si>
  <si>
    <t>A (1-15)</t>
  </si>
  <si>
    <t>A (1-16)</t>
  </si>
  <si>
    <t>V (1-17)</t>
  </si>
  <si>
    <t>V (1-18)</t>
  </si>
  <si>
    <t>mV (1-19)</t>
  </si>
  <si>
    <t>Rop1</t>
  </si>
  <si>
    <t>Rop2</t>
  </si>
  <si>
    <t>Min PI Output (Vpi_in)</t>
  </si>
  <si>
    <t>Max PI Output (Vpi_in)</t>
  </si>
  <si>
    <t xml:space="preserve">Cvb </t>
  </si>
  <si>
    <t xml:space="preserve">Ri </t>
  </si>
  <si>
    <t xml:space="preserve">Rrt </t>
  </si>
  <si>
    <t xml:space="preserve">Cct </t>
  </si>
  <si>
    <t xml:space="preserve">Rg </t>
  </si>
  <si>
    <t>Ria</t>
  </si>
  <si>
    <t>Rib</t>
  </si>
  <si>
    <t>Cib</t>
  </si>
  <si>
    <t>Ohms (1-20)</t>
  </si>
  <si>
    <t>kOhms (1-21)</t>
  </si>
  <si>
    <t>kOhms (1-22)</t>
  </si>
  <si>
    <t>pF (1-23)</t>
  </si>
  <si>
    <t>kOhms (1-24)</t>
  </si>
  <si>
    <t>kOhms (1-25)</t>
  </si>
  <si>
    <t>pF (1-26)</t>
  </si>
  <si>
    <t>Boost Design Specifications</t>
  </si>
  <si>
    <t xml:space="preserve">mm </t>
  </si>
  <si>
    <t>Turns (1-1)</t>
  </si>
  <si>
    <t>T (1-2)</t>
  </si>
  <si>
    <t>mm (1-3)</t>
  </si>
  <si>
    <t>mm^2 (1-4)</t>
  </si>
  <si>
    <t>mOhms (1-5)</t>
  </si>
  <si>
    <t>W (1-6)</t>
  </si>
  <si>
    <t>Rdc</t>
  </si>
  <si>
    <t>## 1 - minVin/Vout</t>
  </si>
  <si>
    <t>## 1 - maxVin/Vout</t>
  </si>
  <si>
    <t>##  maxP/minVin</t>
  </si>
  <si>
    <t>## minP/maxVin</t>
  </si>
  <si>
    <t>## 0.3 &lt; 1/3 &lt;0.5</t>
  </si>
  <si>
    <t>Max Load R</t>
  </si>
  <si>
    <t>Min Load R</t>
  </si>
  <si>
    <t>## Vo^2/Pmin</t>
  </si>
  <si>
    <t>## Vo^2/Pmax</t>
  </si>
  <si>
    <t>## (Rloadmax*D*(1-D)^2)/2*fs</t>
  </si>
  <si>
    <t>MinL meaning the min value we can choose - the max value the circuit will reach</t>
  </si>
  <si>
    <t>Max Iout</t>
  </si>
  <si>
    <t>Min Iout</t>
  </si>
  <si>
    <t>## Pout/Vout</t>
  </si>
  <si>
    <t>## （Ioutmax*Dmax)/fs*ripple</t>
  </si>
  <si>
    <t>## Vout^2/Pout</t>
  </si>
  <si>
    <t>##1 - Vin/Vout</t>
  </si>
  <si>
    <t>## Pout/Vin</t>
  </si>
  <si>
    <t>## Vin*D)/(L*fs</t>
  </si>
  <si>
    <t>CCM Achieved</t>
  </si>
  <si>
    <t>avg + delta/2</t>
  </si>
  <si>
    <t>sqrt(avg^2+delta^2/12)</t>
  </si>
  <si>
    <t>Pout/Vout</t>
  </si>
  <si>
    <t>sqrt(D(Iavg^2 + deltaI ^2/12))</t>
  </si>
  <si>
    <t>only work in D period</t>
  </si>
  <si>
    <t>sqrt(Iout^2*D/1-D + (1-D)deltaI^2/12)</t>
  </si>
  <si>
    <t>VSW max = Vout</t>
  </si>
  <si>
    <t>VD max = Vout</t>
  </si>
  <si>
    <t>not sure for these 2</t>
  </si>
  <si>
    <t>Iout D/Fs Co</t>
  </si>
  <si>
    <t xml:space="preserve">V </t>
  </si>
  <si>
    <t>Unit(eq)</t>
  </si>
  <si>
    <t>This column is to simulate the worst case Inductance Lmin</t>
  </si>
  <si>
    <t>Vout (mean)</t>
  </si>
  <si>
    <t>Pout (rms)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</si>
</sst>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E+00"/>
    <numFmt numFmtId="166" formatCode="0.000"/>
    <numFmt numFmtId="167" formatCode="0.0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/>
      <bottom/>
      <diagonal/>
    </border>
    <border>
      <left style="thin">
        <color auto="1"/>
      </left>
      <right style="double">
        <color rgb="FF3F3F3F"/>
      </right>
      <top style="thin">
        <color auto="1"/>
      </top>
      <bottom/>
      <diagonal/>
    </border>
    <border>
      <left style="double">
        <color rgb="FF3F3F3F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double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/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000000"/>
      </top>
      <bottom style="double">
        <color rgb="FF000000"/>
      </bottom>
      <diagonal/>
    </border>
    <border>
      <left style="double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000000"/>
      </bottom>
      <diagonal/>
    </border>
    <border>
      <left style="thin">
        <color rgb="FF3F3F3F"/>
      </left>
      <right style="double">
        <color rgb="FF3F3F3F"/>
      </right>
      <top/>
      <bottom style="double">
        <color rgb="FF000000"/>
      </bottom>
      <diagonal/>
    </border>
    <border>
      <left style="double">
        <color rgb="FF3F3F3F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1"/>
    <xf numFmtId="0" fontId="1" fillId="3" borderId="2" xfId="2" applyBorder="1"/>
    <xf numFmtId="2" fontId="0" fillId="4" borderId="3" xfId="0" applyNumberFormat="1" applyFill="1" applyBorder="1"/>
    <xf numFmtId="0" fontId="1" fillId="3" borderId="5" xfId="2" applyBorder="1"/>
    <xf numFmtId="2" fontId="0" fillId="4" borderId="6" xfId="0" applyNumberFormat="1" applyFill="1" applyBorder="1"/>
    <xf numFmtId="0" fontId="0" fillId="0" borderId="7" xfId="0" applyBorder="1"/>
    <xf numFmtId="0" fontId="1" fillId="3" borderId="8" xfId="2" applyBorder="1"/>
    <xf numFmtId="2" fontId="0" fillId="4" borderId="9" xfId="0" applyNumberFormat="1" applyFill="1" applyBorder="1"/>
    <xf numFmtId="0" fontId="0" fillId="0" borderId="10" xfId="0" applyBorder="1"/>
    <xf numFmtId="0" fontId="5" fillId="0" borderId="0" xfId="0" applyFont="1"/>
    <xf numFmtId="49" fontId="0" fillId="0" borderId="4" xfId="0" applyNumberFormat="1" applyBorder="1"/>
    <xf numFmtId="0" fontId="1" fillId="3" borderId="11" xfId="2" applyBorder="1"/>
    <xf numFmtId="2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0" xfId="0" applyNumberFormat="1" applyBorder="1"/>
    <xf numFmtId="2" fontId="0" fillId="0" borderId="9" xfId="0" applyNumberFormat="1" applyBorder="1"/>
    <xf numFmtId="49" fontId="0" fillId="0" borderId="6" xfId="0" applyNumberFormat="1" applyBorder="1"/>
    <xf numFmtId="49" fontId="0" fillId="0" borderId="17" xfId="0" applyNumberFormat="1" applyBorder="1"/>
    <xf numFmtId="2" fontId="0" fillId="0" borderId="6" xfId="0" applyNumberFormat="1" applyBorder="1"/>
    <xf numFmtId="0" fontId="1" fillId="3" borderId="18" xfId="2" applyBorder="1"/>
    <xf numFmtId="49" fontId="0" fillId="0" borderId="9" xfId="0" applyNumberFormat="1" applyBorder="1"/>
    <xf numFmtId="49" fontId="0" fillId="0" borderId="20" xfId="0" applyNumberFormat="1" applyBorder="1"/>
    <xf numFmtId="164" fontId="0" fillId="0" borderId="0" xfId="0" applyNumberFormat="1"/>
    <xf numFmtId="49" fontId="0" fillId="0" borderId="0" xfId="0" applyNumberFormat="1"/>
    <xf numFmtId="2" fontId="0" fillId="4" borderId="12" xfId="0" applyNumberFormat="1" applyFill="1" applyBorder="1"/>
    <xf numFmtId="49" fontId="0" fillId="0" borderId="21" xfId="0" applyNumberFormat="1" applyBorder="1"/>
    <xf numFmtId="2" fontId="6" fillId="4" borderId="12" xfId="0" applyNumberFormat="1" applyFont="1" applyFill="1" applyBorder="1"/>
    <xf numFmtId="0" fontId="0" fillId="3" borderId="2" xfId="2" applyFont="1" applyBorder="1"/>
    <xf numFmtId="0" fontId="0" fillId="3" borderId="5" xfId="2" applyFont="1" applyBorder="1"/>
    <xf numFmtId="0" fontId="0" fillId="3" borderId="23" xfId="2" applyFont="1" applyBorder="1"/>
    <xf numFmtId="0" fontId="0" fillId="3" borderId="25" xfId="2" applyFont="1" applyBorder="1"/>
    <xf numFmtId="0" fontId="0" fillId="3" borderId="28" xfId="2" applyFont="1" applyBorder="1"/>
    <xf numFmtId="0" fontId="0" fillId="3" borderId="31" xfId="2" applyFont="1" applyBorder="1"/>
    <xf numFmtId="0" fontId="0" fillId="3" borderId="11" xfId="2" applyFont="1" applyBorder="1"/>
    <xf numFmtId="0" fontId="0" fillId="3" borderId="35" xfId="2" applyFont="1" applyBorder="1"/>
    <xf numFmtId="0" fontId="1" fillId="3" borderId="38" xfId="2" applyBorder="1"/>
    <xf numFmtId="164" fontId="0" fillId="4" borderId="39" xfId="0" applyNumberFormat="1" applyFill="1" applyBorder="1" applyAlignment="1">
      <alignment horizontal="right"/>
    </xf>
    <xf numFmtId="49" fontId="0" fillId="0" borderId="40" xfId="0" applyNumberFormat="1" applyBorder="1"/>
    <xf numFmtId="0" fontId="1" fillId="3" borderId="41" xfId="2" applyBorder="1"/>
    <xf numFmtId="0" fontId="0" fillId="4" borderId="34" xfId="0" applyFill="1" applyBorder="1" applyAlignment="1">
      <alignment horizontal="right"/>
    </xf>
    <xf numFmtId="0" fontId="0" fillId="0" borderId="42" xfId="0" applyBorder="1"/>
    <xf numFmtId="2" fontId="0" fillId="0" borderId="34" xfId="0" applyNumberFormat="1" applyBorder="1"/>
    <xf numFmtId="165" fontId="0" fillId="0" borderId="34" xfId="0" applyNumberFormat="1" applyBorder="1"/>
    <xf numFmtId="0" fontId="1" fillId="3" borderId="43" xfId="2" applyBorder="1"/>
    <xf numFmtId="165" fontId="0" fillId="0" borderId="44" xfId="0" applyNumberFormat="1" applyBorder="1"/>
    <xf numFmtId="0" fontId="1" fillId="3" borderId="45" xfId="2" applyBorder="1"/>
    <xf numFmtId="2" fontId="0" fillId="4" borderId="46" xfId="0" applyNumberFormat="1" applyFill="1" applyBorder="1"/>
    <xf numFmtId="0" fontId="0" fillId="0" borderId="47" xfId="0" applyBorder="1"/>
    <xf numFmtId="0" fontId="0" fillId="4" borderId="39" xfId="0" applyFill="1" applyBorder="1"/>
    <xf numFmtId="0" fontId="0" fillId="0" borderId="40" xfId="0" applyBorder="1"/>
    <xf numFmtId="2" fontId="0" fillId="0" borderId="0" xfId="0" applyNumberFormat="1"/>
    <xf numFmtId="0" fontId="1" fillId="3" borderId="48" xfId="2" applyBorder="1"/>
    <xf numFmtId="0" fontId="0" fillId="0" borderId="49" xfId="0" applyBorder="1"/>
    <xf numFmtId="0" fontId="0" fillId="0" borderId="50" xfId="0" applyBorder="1"/>
    <xf numFmtId="166" fontId="0" fillId="0" borderId="49" xfId="0" applyNumberFormat="1" applyBorder="1"/>
    <xf numFmtId="167" fontId="0" fillId="0" borderId="0" xfId="0" applyNumberFormat="1"/>
    <xf numFmtId="0" fontId="0" fillId="4" borderId="49" xfId="0" applyFill="1" applyBorder="1" applyAlignment="1">
      <alignment horizontal="right"/>
    </xf>
    <xf numFmtId="0" fontId="0" fillId="4" borderId="49" xfId="0" applyFill="1" applyBorder="1"/>
    <xf numFmtId="0" fontId="0" fillId="3" borderId="48" xfId="2" applyFont="1" applyBorder="1"/>
    <xf numFmtId="0" fontId="0" fillId="3" borderId="51" xfId="2" applyFont="1" applyBorder="1"/>
    <xf numFmtId="0" fontId="1" fillId="3" borderId="52" xfId="2" applyBorder="1"/>
    <xf numFmtId="2" fontId="0" fillId="0" borderId="53" xfId="0" applyNumberFormat="1" applyBorder="1"/>
    <xf numFmtId="0" fontId="0" fillId="0" borderId="54" xfId="0" applyBorder="1"/>
    <xf numFmtId="0" fontId="0" fillId="3" borderId="8" xfId="2" applyFont="1" applyBorder="1"/>
    <xf numFmtId="0" fontId="0" fillId="0" borderId="55" xfId="0" applyBorder="1"/>
    <xf numFmtId="0" fontId="0" fillId="0" borderId="56" xfId="0" applyBorder="1"/>
    <xf numFmtId="0" fontId="0" fillId="0" borderId="34" xfId="0" applyBorder="1"/>
    <xf numFmtId="0" fontId="0" fillId="3" borderId="6" xfId="2" applyFont="1" applyBorder="1"/>
    <xf numFmtId="0" fontId="0" fillId="3" borderId="57" xfId="2" applyFont="1" applyBorder="1"/>
    <xf numFmtId="2" fontId="0" fillId="0" borderId="58" xfId="0" applyNumberFormat="1" applyBorder="1"/>
    <xf numFmtId="0" fontId="0" fillId="6" borderId="0" xfId="0" applyFill="1"/>
    <xf numFmtId="2" fontId="0" fillId="6" borderId="0" xfId="0" applyNumberFormat="1" applyFill="1"/>
    <xf numFmtId="49" fontId="8" fillId="0" borderId="3" xfId="0" applyNumberFormat="1" applyFont="1" applyBorder="1"/>
    <xf numFmtId="49" fontId="8" fillId="0" borderId="15" xfId="0" applyNumberFormat="1" applyFont="1" applyBorder="1"/>
    <xf numFmtId="49" fontId="8" fillId="0" borderId="6" xfId="0" applyNumberFormat="1" applyFont="1" applyBorder="1"/>
    <xf numFmtId="49" fontId="8" fillId="0" borderId="9" xfId="0" applyNumberFormat="1" applyFont="1" applyBorder="1"/>
    <xf numFmtId="49" fontId="8" fillId="0" borderId="16" xfId="0" applyNumberFormat="1" applyFont="1" applyBorder="1"/>
    <xf numFmtId="49" fontId="8" fillId="0" borderId="24" xfId="0" applyNumberFormat="1" applyFont="1" applyBorder="1"/>
    <xf numFmtId="49" fontId="8" fillId="0" borderId="17" xfId="0" applyNumberFormat="1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22" xfId="0" applyFont="1" applyBorder="1"/>
    <xf numFmtId="0" fontId="8" fillId="0" borderId="10" xfId="0" applyFont="1" applyBorder="1"/>
    <xf numFmtId="49" fontId="8" fillId="0" borderId="27" xfId="0" applyNumberFormat="1" applyFont="1" applyBorder="1"/>
    <xf numFmtId="49" fontId="8" fillId="0" borderId="30" xfId="0" applyNumberFormat="1" applyFont="1" applyBorder="1"/>
    <xf numFmtId="49" fontId="8" fillId="0" borderId="37" xfId="0" applyNumberFormat="1" applyFont="1" applyBorder="1"/>
    <xf numFmtId="49" fontId="8" fillId="0" borderId="33" xfId="0" applyNumberFormat="1" applyFont="1" applyBorder="1"/>
    <xf numFmtId="49" fontId="8" fillId="0" borderId="22" xfId="0" applyNumberFormat="1" applyFont="1" applyBorder="1"/>
    <xf numFmtId="49" fontId="8" fillId="0" borderId="14" xfId="0" applyNumberFormat="1" applyFont="1" applyBorder="1"/>
    <xf numFmtId="49" fontId="8" fillId="0" borderId="10" xfId="0" applyNumberFormat="1" applyFont="1" applyBorder="1"/>
    <xf numFmtId="49" fontId="8" fillId="0" borderId="4" xfId="0" applyNumberFormat="1" applyFont="1" applyBorder="1"/>
    <xf numFmtId="49" fontId="8" fillId="0" borderId="7" xfId="0" applyNumberFormat="1" applyFont="1" applyBorder="1"/>
    <xf numFmtId="49" fontId="8" fillId="0" borderId="21" xfId="0" applyNumberFormat="1" applyFont="1" applyBorder="1"/>
    <xf numFmtId="49" fontId="8" fillId="0" borderId="13" xfId="0" applyNumberFormat="1" applyFont="1" applyBorder="1"/>
    <xf numFmtId="2" fontId="7" fillId="4" borderId="3" xfId="0" applyNumberFormat="1" applyFont="1" applyFill="1" applyBorder="1"/>
    <xf numFmtId="2" fontId="7" fillId="4" borderId="6" xfId="0" applyNumberFormat="1" applyFont="1" applyFill="1" applyBorder="1"/>
    <xf numFmtId="2" fontId="7" fillId="4" borderId="19" xfId="0" applyNumberFormat="1" applyFont="1" applyFill="1" applyBorder="1"/>
    <xf numFmtId="2" fontId="7" fillId="4" borderId="9" xfId="0" applyNumberFormat="1" applyFont="1" applyFill="1" applyBorder="1"/>
    <xf numFmtId="2" fontId="7" fillId="0" borderId="26" xfId="0" applyNumberFormat="1" applyFont="1" applyBorder="1"/>
    <xf numFmtId="2" fontId="7" fillId="0" borderId="29" xfId="0" applyNumberFormat="1" applyFont="1" applyBorder="1"/>
    <xf numFmtId="2" fontId="7" fillId="0" borderId="36" xfId="0" applyNumberFormat="1" applyFont="1" applyBorder="1"/>
    <xf numFmtId="2" fontId="7" fillId="0" borderId="32" xfId="0" applyNumberFormat="1" applyFont="1" applyBorder="1"/>
    <xf numFmtId="2" fontId="7" fillId="0" borderId="12" xfId="0" applyNumberFormat="1" applyFont="1" applyBorder="1"/>
    <xf numFmtId="2" fontId="7" fillId="7" borderId="9" xfId="0" applyNumberFormat="1" applyFont="1" applyFill="1" applyBorder="1"/>
    <xf numFmtId="2" fontId="7" fillId="8" borderId="6" xfId="0" applyNumberFormat="1" applyFont="1" applyFill="1" applyBorder="1"/>
    <xf numFmtId="2" fontId="7" fillId="8" borderId="58" xfId="0" applyNumberFormat="1" applyFont="1" applyFill="1" applyBorder="1"/>
    <xf numFmtId="2" fontId="7" fillId="4" borderId="15" xfId="0" applyNumberFormat="1" applyFont="1" applyFill="1" applyBorder="1"/>
    <xf numFmtId="2" fontId="7" fillId="0" borderId="6" xfId="0" applyNumberFormat="1" applyFont="1" applyBorder="1"/>
    <xf numFmtId="2" fontId="7" fillId="4" borderId="6" xfId="0" applyNumberFormat="1" applyFont="1" applyFill="1" applyBorder="1" applyAlignment="1">
      <alignment horizontal="right"/>
    </xf>
    <xf numFmtId="2" fontId="7" fillId="0" borderId="19" xfId="0" applyNumberFormat="1" applyFont="1" applyBorder="1"/>
    <xf numFmtId="2" fontId="7" fillId="0" borderId="9" xfId="0" applyNumberFormat="1" applyFont="1" applyBorder="1"/>
    <xf numFmtId="2" fontId="7" fillId="5" borderId="3" xfId="0" applyNumberFormat="1" applyFont="1" applyFill="1" applyBorder="1"/>
    <xf numFmtId="2" fontId="7" fillId="5" borderId="15" xfId="0" applyNumberFormat="1" applyFont="1" applyFill="1" applyBorder="1"/>
    <xf numFmtId="2" fontId="7" fillId="5" borderId="6" xfId="0" applyNumberFormat="1" applyFont="1" applyFill="1" applyBorder="1"/>
    <xf numFmtId="49" fontId="8" fillId="0" borderId="19" xfId="0" applyNumberFormat="1" applyFont="1" applyBorder="1"/>
    <xf numFmtId="166" fontId="7" fillId="0" borderId="6" xfId="0" applyNumberFormat="1" applyFont="1" applyBorder="1" applyAlignment="1">
      <alignment horizontal="right"/>
    </xf>
    <xf numFmtId="166" fontId="7" fillId="0" borderId="6" xfId="0" applyNumberFormat="1" applyFont="1" applyBorder="1"/>
    <xf numFmtId="166" fontId="7" fillId="0" borderId="19" xfId="0" applyNumberFormat="1" applyFont="1" applyBorder="1"/>
    <xf numFmtId="166" fontId="7" fillId="0" borderId="9" xfId="0" applyNumberFormat="1" applyFont="1" applyBorder="1"/>
    <xf numFmtId="0" fontId="0" fillId="3" borderId="18" xfId="2" applyFont="1" applyBorder="1"/>
    <xf numFmtId="166" fontId="8" fillId="0" borderId="6" xfId="0" applyNumberFormat="1" applyFont="1" applyBorder="1"/>
    <xf numFmtId="166" fontId="8" fillId="0" borderId="17" xfId="0" applyNumberFormat="1" applyFont="1" applyBorder="1"/>
    <xf numFmtId="166" fontId="7" fillId="4" borderId="6" xfId="0" applyNumberFormat="1" applyFont="1" applyFill="1" applyBorder="1" applyAlignment="1">
      <alignment horizontal="right"/>
    </xf>
    <xf numFmtId="166" fontId="8" fillId="0" borderId="59" xfId="0" applyNumberFormat="1" applyFont="1" applyBorder="1"/>
    <xf numFmtId="166" fontId="8" fillId="0" borderId="19" xfId="0" applyNumberFormat="1" applyFont="1" applyBorder="1"/>
    <xf numFmtId="166" fontId="8" fillId="0" borderId="9" xfId="0" applyNumberFormat="1" applyFont="1" applyBorder="1"/>
    <xf numFmtId="0" fontId="9" fillId="0" borderId="0" xfId="0" applyFont="1"/>
  </cellXfs>
  <cellStyles count="3">
    <cellStyle name="20% - Accent1" xfId="2" builtinId="30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8CAE-7D6E-414C-9BF7-B54583CFEE9E}">
  <dimension ref="A1:Q109"/>
  <sheetViews>
    <sheetView tabSelected="1" topLeftCell="A33" zoomScale="125" workbookViewId="0">
      <selection activeCell="B71" sqref="B71"/>
    </sheetView>
  </sheetViews>
  <sheetFormatPr defaultColWidth="12" defaultRowHeight="14.25"/>
  <cols>
    <col min="1" max="1" width="20.5" customWidth="1"/>
    <col min="2" max="13" width="12.875" customWidth="1"/>
  </cols>
  <sheetData>
    <row r="1" spans="1:3" ht="21.95">
      <c r="A1" s="1" t="s">
        <v>58</v>
      </c>
    </row>
    <row r="3" spans="1:3" ht="18.95">
      <c r="A3" s="2" t="s">
        <v>143</v>
      </c>
    </row>
    <row r="4" spans="1:3" ht="15.95" thickBot="1"/>
    <row r="5" spans="1:3" ht="17.100000000000001" thickTop="1" thickBot="1">
      <c r="A5" s="3" t="s">
        <v>0</v>
      </c>
      <c r="B5" s="3" t="s">
        <v>1</v>
      </c>
      <c r="C5" s="3" t="s">
        <v>2</v>
      </c>
    </row>
    <row r="6" spans="1:3" ht="15.95" thickTop="1">
      <c r="A6" s="31" t="s">
        <v>36</v>
      </c>
      <c r="B6" s="98">
        <v>3.5</v>
      </c>
      <c r="C6" s="83" t="s">
        <v>3</v>
      </c>
    </row>
    <row r="7" spans="1:3" ht="15">
      <c r="A7" s="32" t="s">
        <v>37</v>
      </c>
      <c r="B7" s="99">
        <v>2.5</v>
      </c>
      <c r="C7" s="84" t="s">
        <v>3</v>
      </c>
    </row>
    <row r="8" spans="1:3" ht="15">
      <c r="A8" s="32" t="s">
        <v>38</v>
      </c>
      <c r="B8" s="99">
        <v>5</v>
      </c>
      <c r="C8" s="84" t="s">
        <v>3</v>
      </c>
    </row>
    <row r="9" spans="1:3" ht="15">
      <c r="A9" s="32" t="s">
        <v>56</v>
      </c>
      <c r="B9" s="99">
        <v>5</v>
      </c>
      <c r="C9" s="84" t="s">
        <v>4</v>
      </c>
    </row>
    <row r="10" spans="1:3" ht="15">
      <c r="A10" s="32" t="s">
        <v>57</v>
      </c>
      <c r="B10" s="100">
        <v>0.5</v>
      </c>
      <c r="C10" s="85" t="s">
        <v>4</v>
      </c>
    </row>
    <row r="11" spans="1:3" ht="15.95" thickBot="1">
      <c r="A11" s="9" t="s">
        <v>5</v>
      </c>
      <c r="B11" s="101">
        <v>100</v>
      </c>
      <c r="C11" s="86" t="s">
        <v>6</v>
      </c>
    </row>
    <row r="12" spans="1:3" ht="17.100000000000001" thickTop="1">
      <c r="A12" s="12"/>
    </row>
    <row r="14" spans="1:3" ht="18.95">
      <c r="A14" s="2" t="s">
        <v>55</v>
      </c>
    </row>
    <row r="15" spans="1:3" ht="15.95" thickBot="1"/>
    <row r="16" spans="1:3" ht="17.100000000000001" thickTop="1" thickBot="1">
      <c r="A16" s="3" t="s">
        <v>0</v>
      </c>
      <c r="B16" s="3" t="s">
        <v>1</v>
      </c>
      <c r="C16" s="3" t="s">
        <v>7</v>
      </c>
    </row>
    <row r="17" spans="1:7" ht="15.95" thickTop="1">
      <c r="A17" s="34" t="s">
        <v>41</v>
      </c>
      <c r="B17" s="102">
        <f>1-B7/B8</f>
        <v>0.5</v>
      </c>
      <c r="C17" s="87" t="s">
        <v>104</v>
      </c>
      <c r="D17" t="s">
        <v>152</v>
      </c>
    </row>
    <row r="18" spans="1:7" ht="15">
      <c r="A18" s="35" t="s">
        <v>40</v>
      </c>
      <c r="B18" s="103">
        <f>1 - B6/B8</f>
        <v>0.30000000000000004</v>
      </c>
      <c r="C18" s="88" t="s">
        <v>105</v>
      </c>
      <c r="D18" t="s">
        <v>153</v>
      </c>
    </row>
    <row r="19" spans="1:7" ht="15">
      <c r="A19" s="38" t="s">
        <v>59</v>
      </c>
      <c r="B19" s="104">
        <f>B9/B7</f>
        <v>2</v>
      </c>
      <c r="C19" s="89" t="s">
        <v>106</v>
      </c>
      <c r="D19" t="s">
        <v>154</v>
      </c>
    </row>
    <row r="20" spans="1:7" ht="15">
      <c r="A20" s="36" t="s">
        <v>60</v>
      </c>
      <c r="B20" s="105">
        <f>B10/B6</f>
        <v>0.14285714285714285</v>
      </c>
      <c r="C20" s="90" t="s">
        <v>107</v>
      </c>
      <c r="D20" t="s">
        <v>155</v>
      </c>
    </row>
    <row r="21" spans="1:7" ht="15">
      <c r="A21" s="37" t="s">
        <v>43</v>
      </c>
      <c r="B21" s="106">
        <v>0.33333333333333331</v>
      </c>
      <c r="C21" s="91" t="s">
        <v>108</v>
      </c>
      <c r="D21" t="s">
        <v>156</v>
      </c>
    </row>
    <row r="22" spans="1:7" ht="15">
      <c r="A22" s="37" t="s">
        <v>157</v>
      </c>
      <c r="B22" s="106">
        <f>B8^2/B10</f>
        <v>50</v>
      </c>
      <c r="C22" s="78" t="s">
        <v>23</v>
      </c>
      <c r="D22" t="s">
        <v>159</v>
      </c>
    </row>
    <row r="23" spans="1:7" ht="15">
      <c r="A23" s="37" t="s">
        <v>158</v>
      </c>
      <c r="B23" s="106">
        <f>B8^2/B9</f>
        <v>5</v>
      </c>
      <c r="C23" s="78" t="s">
        <v>23</v>
      </c>
      <c r="D23" t="s">
        <v>160</v>
      </c>
    </row>
    <row r="24" spans="1:7" ht="15">
      <c r="A24" s="37" t="s">
        <v>44</v>
      </c>
      <c r="B24" s="106">
        <f>B22*B21*(1-B21)^2/(2*B11*1000)*1000000</f>
        <v>37.037037037037038</v>
      </c>
      <c r="C24" s="92" t="s">
        <v>109</v>
      </c>
      <c r="D24" t="s">
        <v>161</v>
      </c>
      <c r="G24" t="s">
        <v>162</v>
      </c>
    </row>
    <row r="25" spans="1:7" ht="15.75" thickBot="1">
      <c r="A25" s="67" t="s">
        <v>103</v>
      </c>
      <c r="B25" s="107">
        <v>50</v>
      </c>
      <c r="C25" s="93" t="s">
        <v>8</v>
      </c>
    </row>
    <row r="26" spans="1:7" ht="15.95" thickTop="1"/>
    <row r="28" spans="1:7" ht="18.95">
      <c r="A28" s="2" t="s">
        <v>9</v>
      </c>
    </row>
    <row r="29" spans="1:7" ht="15.95" thickBot="1"/>
    <row r="30" spans="1:7" ht="17.100000000000001" thickTop="1" thickBot="1">
      <c r="A30" s="3" t="s">
        <v>0</v>
      </c>
      <c r="B30" s="3" t="s">
        <v>1</v>
      </c>
      <c r="C30" s="3" t="s">
        <v>7</v>
      </c>
    </row>
    <row r="31" spans="1:7" ht="15.95" thickTop="1">
      <c r="A31" s="4" t="s">
        <v>10</v>
      </c>
      <c r="B31" s="98">
        <v>0.05</v>
      </c>
      <c r="C31" s="94" t="s">
        <v>3</v>
      </c>
    </row>
    <row r="32" spans="1:7" ht="15">
      <c r="A32" s="71" t="s">
        <v>163</v>
      </c>
      <c r="B32" s="108">
        <f>B9/B8</f>
        <v>1</v>
      </c>
      <c r="C32" s="95" t="s">
        <v>42</v>
      </c>
      <c r="D32" t="s">
        <v>165</v>
      </c>
    </row>
    <row r="33" spans="1:14" ht="15">
      <c r="A33" s="72" t="s">
        <v>164</v>
      </c>
      <c r="B33" s="109">
        <f>B10/B8</f>
        <v>0.1</v>
      </c>
      <c r="C33" s="96" t="s">
        <v>42</v>
      </c>
    </row>
    <row r="34" spans="1:14" ht="15">
      <c r="A34" s="14" t="s">
        <v>11</v>
      </c>
      <c r="B34" s="106">
        <f>(B32*B17)/(B11*1000*B31)*1000000</f>
        <v>100</v>
      </c>
      <c r="C34" s="97" t="s">
        <v>110</v>
      </c>
      <c r="D34" t="s">
        <v>166</v>
      </c>
    </row>
    <row r="35" spans="1:14" ht="15.75" thickBot="1">
      <c r="A35" s="9" t="s">
        <v>12</v>
      </c>
      <c r="B35" s="107">
        <v>220</v>
      </c>
      <c r="C35" s="93" t="s">
        <v>111</v>
      </c>
    </row>
    <row r="36" spans="1:14" ht="15.95" thickTop="1"/>
    <row r="38" spans="1:14" ht="18.95">
      <c r="A38" s="2" t="s">
        <v>13</v>
      </c>
    </row>
    <row r="39" spans="1:14" ht="15.95" thickBot="1"/>
    <row r="40" spans="1:14" ht="17.100000000000001" thickTop="1" thickBot="1">
      <c r="A40" s="3" t="s">
        <v>0</v>
      </c>
      <c r="B40" s="3" t="s">
        <v>1</v>
      </c>
      <c r="C40" s="3" t="s">
        <v>7</v>
      </c>
      <c r="D40" s="3" t="s">
        <v>1</v>
      </c>
      <c r="E40" s="3" t="s">
        <v>7</v>
      </c>
      <c r="F40" s="3" t="s">
        <v>1</v>
      </c>
      <c r="G40" s="3" t="s">
        <v>7</v>
      </c>
      <c r="H40" s="3" t="s">
        <v>1</v>
      </c>
      <c r="I40" s="3" t="s">
        <v>7</v>
      </c>
      <c r="J40" s="3" t="s">
        <v>1</v>
      </c>
      <c r="K40" s="3" t="s">
        <v>7</v>
      </c>
      <c r="L40" s="3" t="s">
        <v>1</v>
      </c>
      <c r="M40" s="3" t="s">
        <v>7</v>
      </c>
    </row>
    <row r="41" spans="1:14" ht="15.95" thickTop="1">
      <c r="A41" s="4" t="s">
        <v>14</v>
      </c>
      <c r="B41" s="98">
        <v>5</v>
      </c>
      <c r="C41" s="76" t="s">
        <v>3</v>
      </c>
      <c r="D41" s="98">
        <v>5</v>
      </c>
      <c r="E41" s="76" t="s">
        <v>3</v>
      </c>
      <c r="F41" s="115">
        <v>5</v>
      </c>
      <c r="G41" s="76" t="s">
        <v>3</v>
      </c>
      <c r="H41" s="98">
        <v>5</v>
      </c>
      <c r="I41" s="76" t="s">
        <v>3</v>
      </c>
      <c r="J41" s="98">
        <v>5</v>
      </c>
      <c r="K41" s="80" t="s">
        <v>3</v>
      </c>
      <c r="L41" s="98">
        <v>5</v>
      </c>
      <c r="M41" s="80" t="s">
        <v>3</v>
      </c>
    </row>
    <row r="42" spans="1:14" ht="15">
      <c r="A42" s="33" t="s">
        <v>39</v>
      </c>
      <c r="B42" s="110">
        <v>2.5</v>
      </c>
      <c r="C42" s="77" t="s">
        <v>3</v>
      </c>
      <c r="D42" s="110">
        <v>3.33</v>
      </c>
      <c r="E42" s="77" t="s">
        <v>3</v>
      </c>
      <c r="F42" s="116">
        <v>3.5</v>
      </c>
      <c r="G42" s="77" t="s">
        <v>3</v>
      </c>
      <c r="H42" s="110">
        <v>2.5</v>
      </c>
      <c r="I42" s="77" t="s">
        <v>3</v>
      </c>
      <c r="J42" s="110">
        <v>3.33</v>
      </c>
      <c r="K42" s="81" t="s">
        <v>3</v>
      </c>
      <c r="L42" s="110">
        <v>3.5</v>
      </c>
      <c r="M42" s="81" t="s">
        <v>3</v>
      </c>
    </row>
    <row r="43" spans="1:14" ht="15">
      <c r="A43" s="6" t="s">
        <v>15</v>
      </c>
      <c r="B43" s="99">
        <f>B10</f>
        <v>0.5</v>
      </c>
      <c r="C43" s="78" t="s">
        <v>4</v>
      </c>
      <c r="D43" s="99">
        <f>B10</f>
        <v>0.5</v>
      </c>
      <c r="E43" s="78" t="s">
        <v>4</v>
      </c>
      <c r="F43" s="117">
        <v>0.5</v>
      </c>
      <c r="G43" s="78" t="s">
        <v>4</v>
      </c>
      <c r="H43" s="99">
        <v>5</v>
      </c>
      <c r="I43" s="78" t="s">
        <v>4</v>
      </c>
      <c r="J43" s="99">
        <v>5</v>
      </c>
      <c r="K43" s="82" t="s">
        <v>4</v>
      </c>
      <c r="L43" s="99">
        <v>5</v>
      </c>
      <c r="M43" s="82" t="s">
        <v>4</v>
      </c>
    </row>
    <row r="44" spans="1:14" ht="15">
      <c r="A44" s="6" t="s">
        <v>16</v>
      </c>
      <c r="B44" s="111">
        <f>B41^2/B43</f>
        <v>50</v>
      </c>
      <c r="C44" s="78" t="s">
        <v>112</v>
      </c>
      <c r="D44" s="111">
        <f>D41^2/D43</f>
        <v>50</v>
      </c>
      <c r="E44" s="78" t="s">
        <v>112</v>
      </c>
      <c r="F44" s="111">
        <f>F41^2/F43</f>
        <v>50</v>
      </c>
      <c r="G44" s="78" t="s">
        <v>112</v>
      </c>
      <c r="H44" s="111">
        <f>H41^2/H43</f>
        <v>5</v>
      </c>
      <c r="I44" s="78" t="s">
        <v>112</v>
      </c>
      <c r="J44" s="111">
        <f>J41^2/J43</f>
        <v>5</v>
      </c>
      <c r="K44" s="78" t="s">
        <v>112</v>
      </c>
      <c r="L44" s="111">
        <f>L41^2/L43</f>
        <v>5</v>
      </c>
      <c r="M44" s="78" t="s">
        <v>112</v>
      </c>
      <c r="N44" s="73" t="s">
        <v>167</v>
      </c>
    </row>
    <row r="45" spans="1:14" ht="15">
      <c r="A45" s="6" t="s">
        <v>17</v>
      </c>
      <c r="B45" s="111">
        <f>1 - B42/B41</f>
        <v>0.5</v>
      </c>
      <c r="C45" s="78" t="s">
        <v>113</v>
      </c>
      <c r="D45" s="111">
        <f>1 - D42/D41</f>
        <v>0.33399999999999996</v>
      </c>
      <c r="E45" s="78" t="s">
        <v>113</v>
      </c>
      <c r="F45" s="111">
        <f>1 - F42/F41</f>
        <v>0.30000000000000004</v>
      </c>
      <c r="G45" s="78" t="s">
        <v>113</v>
      </c>
      <c r="H45" s="111">
        <f>1 - H42/H41</f>
        <v>0.5</v>
      </c>
      <c r="I45" s="78" t="s">
        <v>113</v>
      </c>
      <c r="J45" s="111">
        <f>1 - J42/J41</f>
        <v>0.33399999999999996</v>
      </c>
      <c r="K45" s="78" t="s">
        <v>113</v>
      </c>
      <c r="L45" s="111">
        <f>1 - L42/L41</f>
        <v>0.30000000000000004</v>
      </c>
      <c r="M45" s="78" t="s">
        <v>113</v>
      </c>
      <c r="N45" s="73" t="s">
        <v>168</v>
      </c>
    </row>
    <row r="46" spans="1:14" ht="15">
      <c r="A46" s="32" t="s">
        <v>46</v>
      </c>
      <c r="B46" s="111">
        <f>B43/B42</f>
        <v>0.2</v>
      </c>
      <c r="C46" s="78" t="s">
        <v>114</v>
      </c>
      <c r="D46" s="111">
        <f>D43/D42</f>
        <v>0.15015015015015015</v>
      </c>
      <c r="E46" s="78" t="s">
        <v>114</v>
      </c>
      <c r="F46" s="111">
        <f>F43/F42</f>
        <v>0.14285714285714285</v>
      </c>
      <c r="G46" s="78" t="s">
        <v>114</v>
      </c>
      <c r="H46" s="111">
        <f>H43/H42</f>
        <v>2</v>
      </c>
      <c r="I46" s="78" t="s">
        <v>114</v>
      </c>
      <c r="J46" s="111">
        <f>J43/J42</f>
        <v>1.5015015015015014</v>
      </c>
      <c r="K46" s="78" t="s">
        <v>114</v>
      </c>
      <c r="L46" s="111">
        <f>L43/L42</f>
        <v>1.4285714285714286</v>
      </c>
      <c r="M46" s="78" t="s">
        <v>114</v>
      </c>
      <c r="N46" s="73" t="s">
        <v>169</v>
      </c>
    </row>
    <row r="47" spans="1:14" ht="15">
      <c r="A47" s="32" t="s">
        <v>45</v>
      </c>
      <c r="B47" s="111">
        <f>B42*B45/(B25*0.000001*B11*1000)</f>
        <v>0.25000000000000006</v>
      </c>
      <c r="C47" s="78" t="s">
        <v>115</v>
      </c>
      <c r="D47" s="111">
        <f>D42*D45/(B25*0.000001*B11*1000)</f>
        <v>0.22244400000000003</v>
      </c>
      <c r="E47" s="78" t="s">
        <v>115</v>
      </c>
      <c r="F47" s="111">
        <f>F42*F45/(B25*0.000001*B11*1000)</f>
        <v>0.2100000000000001</v>
      </c>
      <c r="G47" s="78" t="s">
        <v>115</v>
      </c>
      <c r="H47" s="111">
        <f>H42*H45/(B25*0.000001*B11*1000)</f>
        <v>0.25000000000000006</v>
      </c>
      <c r="I47" s="78" t="s">
        <v>115</v>
      </c>
      <c r="J47" s="111">
        <f>J42*J45/(B24*0.000001*B11*1000)</f>
        <v>0.30029939999999999</v>
      </c>
      <c r="K47" s="78" t="s">
        <v>115</v>
      </c>
      <c r="L47" s="111">
        <f>L42*L45/(B25*0.000001*B11*1000)</f>
        <v>0.2100000000000001</v>
      </c>
      <c r="M47" s="78" t="s">
        <v>115</v>
      </c>
      <c r="N47" s="54" t="s">
        <v>170</v>
      </c>
    </row>
    <row r="48" spans="1:14" ht="15">
      <c r="A48" s="32" t="s">
        <v>171</v>
      </c>
      <c r="B48" s="112" t="str">
        <f>IF(B46&gt;=B47/2,"Yes","No")</f>
        <v>Yes</v>
      </c>
      <c r="C48" s="78"/>
      <c r="D48" s="112" t="str">
        <f>IF(D46&gt;=D47/2,"Yes","No")</f>
        <v>Yes</v>
      </c>
      <c r="E48" s="78"/>
      <c r="F48" s="112" t="str">
        <f>IF(F46&gt;=F47/2,"Yes","No")</f>
        <v>Yes</v>
      </c>
      <c r="G48" s="78"/>
      <c r="H48" s="112" t="str">
        <f>IF(H46&gt;=H47/2,"Yes","No")</f>
        <v>Yes</v>
      </c>
      <c r="I48" s="78"/>
      <c r="J48" s="112" t="str">
        <f>IF(J46&gt;=J47/2,"Yes","No")</f>
        <v>Yes</v>
      </c>
      <c r="K48" s="82"/>
      <c r="L48" s="112" t="str">
        <f>IF(L46&gt;=L47/2,"Yes","No")</f>
        <v>Yes</v>
      </c>
      <c r="M48" s="82"/>
    </row>
    <row r="49" spans="1:17" ht="15">
      <c r="A49" s="6" t="s">
        <v>48</v>
      </c>
      <c r="B49" s="111">
        <f>B46+B47/2</f>
        <v>0.32500000000000007</v>
      </c>
      <c r="C49" s="78" t="s">
        <v>116</v>
      </c>
      <c r="D49" s="111">
        <f>D46+D47/2</f>
        <v>0.26137215015015014</v>
      </c>
      <c r="E49" s="78" t="s">
        <v>116</v>
      </c>
      <c r="F49" s="111">
        <f>F46+F47/2</f>
        <v>0.24785714285714289</v>
      </c>
      <c r="G49" s="78" t="s">
        <v>116</v>
      </c>
      <c r="H49" s="111">
        <f>H46+H47/2</f>
        <v>2.125</v>
      </c>
      <c r="I49" s="78" t="s">
        <v>116</v>
      </c>
      <c r="J49" s="111">
        <f>J46+J47/2</f>
        <v>1.6516512015015015</v>
      </c>
      <c r="K49" s="78" t="s">
        <v>116</v>
      </c>
      <c r="L49" s="111">
        <f>L46+L47/2</f>
        <v>1.5335714285714286</v>
      </c>
      <c r="M49" s="78" t="s">
        <v>116</v>
      </c>
      <c r="N49" s="54" t="s">
        <v>172</v>
      </c>
    </row>
    <row r="50" spans="1:17" ht="15">
      <c r="A50" s="6" t="s">
        <v>47</v>
      </c>
      <c r="B50" s="111">
        <f>SQRT(B46^2 + B47^2/12)</f>
        <v>0.2126225137028846</v>
      </c>
      <c r="C50" s="78" t="s">
        <v>117</v>
      </c>
      <c r="D50" s="111">
        <f>SQRT(D46^2 + D47^2/12)</f>
        <v>0.16330496629959737</v>
      </c>
      <c r="E50" s="78" t="s">
        <v>117</v>
      </c>
      <c r="F50" s="111">
        <f>SQRT(F46^2 + F47^2/12)</f>
        <v>0.15518751001709552</v>
      </c>
      <c r="G50" s="78" t="s">
        <v>117</v>
      </c>
      <c r="H50" s="111">
        <f>SQRT(H46^2 + H47^2/12)</f>
        <v>2.0013016597538047</v>
      </c>
      <c r="I50" s="78" t="s">
        <v>117</v>
      </c>
      <c r="J50" s="111">
        <f>SQRT(J46^2 + J47^2/12)</f>
        <v>1.504001907073689</v>
      </c>
      <c r="K50" s="78" t="s">
        <v>117</v>
      </c>
      <c r="L50" s="111">
        <f>SQRT(L46^2 + L47^2/12)</f>
        <v>1.4298571000385361</v>
      </c>
      <c r="M50" s="78" t="s">
        <v>117</v>
      </c>
      <c r="N50" s="54" t="s">
        <v>173</v>
      </c>
    </row>
    <row r="51" spans="1:17" ht="15">
      <c r="A51" s="23" t="s">
        <v>49</v>
      </c>
      <c r="B51" s="113">
        <f>B43/B41</f>
        <v>0.1</v>
      </c>
      <c r="C51" s="78" t="s">
        <v>118</v>
      </c>
      <c r="D51" s="113">
        <f>D43/D41</f>
        <v>0.1</v>
      </c>
      <c r="E51" s="78" t="s">
        <v>118</v>
      </c>
      <c r="F51" s="113">
        <f>F43/F41</f>
        <v>0.1</v>
      </c>
      <c r="G51" s="78" t="s">
        <v>118</v>
      </c>
      <c r="H51" s="113">
        <f>H43/H41</f>
        <v>1</v>
      </c>
      <c r="I51" s="78" t="s">
        <v>118</v>
      </c>
      <c r="J51" s="113">
        <f>J43/J41</f>
        <v>1</v>
      </c>
      <c r="K51" s="78" t="s">
        <v>118</v>
      </c>
      <c r="L51" s="113">
        <f>L43/L41</f>
        <v>1</v>
      </c>
      <c r="M51" s="78" t="s">
        <v>118</v>
      </c>
      <c r="N51" s="54" t="s">
        <v>174</v>
      </c>
    </row>
    <row r="52" spans="1:17" ht="15">
      <c r="A52" s="23" t="s">
        <v>51</v>
      </c>
      <c r="B52" s="113">
        <f>SQRT(B45*(B46^2 + B47^2/12))</f>
        <v>0.15034682127223931</v>
      </c>
      <c r="C52" s="78" t="s">
        <v>119</v>
      </c>
      <c r="D52" s="113">
        <f>SQRT(D45*(D46^2 + D47^2/12))</f>
        <v>9.4378403324328494E-2</v>
      </c>
      <c r="E52" s="78" t="s">
        <v>119</v>
      </c>
      <c r="F52" s="113">
        <f>SQRT(F45*(F46^2 + F47^2/12))</f>
        <v>8.4999699879422158E-2</v>
      </c>
      <c r="G52" s="78" t="s">
        <v>119</v>
      </c>
      <c r="H52" s="113">
        <f>SQRT(H45*(H46^2 + H47^2/12))</f>
        <v>1.4151339748118079</v>
      </c>
      <c r="I52" s="78" t="s">
        <v>119</v>
      </c>
      <c r="J52" s="113">
        <f>SQRT(J45*(J46^2 + J47^2/12))</f>
        <v>0.86920380808228848</v>
      </c>
      <c r="K52" s="78" t="s">
        <v>119</v>
      </c>
      <c r="L52" s="113">
        <f>SQRT(L45*(L46^2 + L47^2/12))</f>
        <v>0.78316498770002718</v>
      </c>
      <c r="M52" s="78" t="s">
        <v>119</v>
      </c>
      <c r="N52" s="54" t="s">
        <v>175</v>
      </c>
      <c r="Q52" t="s">
        <v>176</v>
      </c>
    </row>
    <row r="53" spans="1:17" ht="15">
      <c r="A53" s="23" t="s">
        <v>50</v>
      </c>
      <c r="B53" s="113">
        <f>SQRT(B51^2 *B45/(1-B45) +(1 - B45) * B47^2/12)</f>
        <v>0.11226827987756234</v>
      </c>
      <c r="C53" s="78" t="s">
        <v>120</v>
      </c>
      <c r="D53" s="113">
        <f>SQRT(D51^2 *D45/(1-D45) +(1 - D45) * D47^2/12)</f>
        <v>8.8097837680972707E-2</v>
      </c>
      <c r="E53" s="78" t="s">
        <v>120</v>
      </c>
      <c r="F53" s="113">
        <f>SQRT(F51^2 *F45/(1-F45) +(1 - F45) * F47^2/12)</f>
        <v>8.2814336233011557E-2</v>
      </c>
      <c r="G53" s="78" t="s">
        <v>120</v>
      </c>
      <c r="H53" s="113">
        <f>SQRT(H51^2 *H45/(1-H45) +(1 - H45) * H47^2/12)</f>
        <v>1.0013012367248264</v>
      </c>
      <c r="I53" s="78" t="s">
        <v>120</v>
      </c>
      <c r="J53" s="113">
        <f>SQRT(J51^2 *J45/(1-J45) +(1 - J45) * J47^2/12)</f>
        <v>0.71169268402628771</v>
      </c>
      <c r="K53" s="78" t="s">
        <v>120</v>
      </c>
      <c r="L53" s="113">
        <f>SQRT(L51^2 *L45/(1-L45) +(1 - L45) * L47^2/12)</f>
        <v>0.65661551045602684</v>
      </c>
      <c r="M53" s="78" t="s">
        <v>120</v>
      </c>
      <c r="N53" s="54" t="s">
        <v>177</v>
      </c>
    </row>
    <row r="54" spans="1:17" ht="15">
      <c r="A54" s="6" t="s">
        <v>52</v>
      </c>
      <c r="B54" s="113">
        <f>B8</f>
        <v>5</v>
      </c>
      <c r="C54" s="78" t="s">
        <v>121</v>
      </c>
      <c r="D54" s="113">
        <f>B8</f>
        <v>5</v>
      </c>
      <c r="E54" s="78" t="s">
        <v>121</v>
      </c>
      <c r="F54" s="113">
        <f>B8</f>
        <v>5</v>
      </c>
      <c r="G54" s="78" t="s">
        <v>121</v>
      </c>
      <c r="H54" s="113">
        <f>B8</f>
        <v>5</v>
      </c>
      <c r="I54" s="78" t="s">
        <v>121</v>
      </c>
      <c r="J54" s="113">
        <f>B8</f>
        <v>5</v>
      </c>
      <c r="K54" s="78" t="s">
        <v>121</v>
      </c>
      <c r="L54" s="113">
        <f>B8</f>
        <v>5</v>
      </c>
      <c r="M54" s="78" t="s">
        <v>121</v>
      </c>
      <c r="N54" s="74" t="s">
        <v>178</v>
      </c>
      <c r="O54" s="74"/>
      <c r="P54" s="74" t="s">
        <v>180</v>
      </c>
    </row>
    <row r="55" spans="1:17" ht="15">
      <c r="A55" s="23" t="s">
        <v>53</v>
      </c>
      <c r="B55" s="113">
        <f>B8</f>
        <v>5</v>
      </c>
      <c r="C55" s="78" t="s">
        <v>122</v>
      </c>
      <c r="D55" s="113">
        <f>B8</f>
        <v>5</v>
      </c>
      <c r="E55" s="78" t="s">
        <v>122</v>
      </c>
      <c r="F55" s="113">
        <f>B8</f>
        <v>5</v>
      </c>
      <c r="G55" s="78" t="s">
        <v>122</v>
      </c>
      <c r="H55" s="113">
        <f>B8</f>
        <v>5</v>
      </c>
      <c r="I55" s="78" t="s">
        <v>122</v>
      </c>
      <c r="J55" s="113">
        <f>B8</f>
        <v>5</v>
      </c>
      <c r="K55" s="78" t="s">
        <v>122</v>
      </c>
      <c r="L55" s="113">
        <f>B8</f>
        <v>5</v>
      </c>
      <c r="M55" s="78" t="s">
        <v>122</v>
      </c>
      <c r="N55" s="75" t="s">
        <v>179</v>
      </c>
      <c r="O55" s="74"/>
      <c r="P55" s="74"/>
    </row>
    <row r="56" spans="1:17" ht="15.95" thickBot="1">
      <c r="A56" s="9" t="s">
        <v>54</v>
      </c>
      <c r="B56" s="114">
        <f>B51*B45/(B11*1000*B35*0.000001)*1000</f>
        <v>2.2727272727272729</v>
      </c>
      <c r="C56" s="79" t="s">
        <v>123</v>
      </c>
      <c r="D56" s="114">
        <f>D51*D45/(B11*1000*B35*0.000001)*1000</f>
        <v>1.5181818181818181</v>
      </c>
      <c r="E56" s="79" t="s">
        <v>123</v>
      </c>
      <c r="F56" s="114">
        <f>F51*F45/(B11*1000*B35*0.000001)*1000</f>
        <v>1.363636363636364</v>
      </c>
      <c r="G56" s="79" t="s">
        <v>123</v>
      </c>
      <c r="H56" s="114">
        <f>H51*H45/(B11*1000*B35*0.000001)*1000</f>
        <v>22.727272727272727</v>
      </c>
      <c r="I56" s="79" t="s">
        <v>123</v>
      </c>
      <c r="J56" s="114">
        <f>J51*J45/(B11*1000*B35*0.000001)*1000</f>
        <v>15.18181818181818</v>
      </c>
      <c r="K56" s="79" t="s">
        <v>123</v>
      </c>
      <c r="L56" s="114">
        <f>L51*L45/(B11*1000*B35*0.000001)*1000</f>
        <v>13.636363636363638</v>
      </c>
      <c r="M56" s="79" t="s">
        <v>123</v>
      </c>
      <c r="N56" s="54" t="s">
        <v>181</v>
      </c>
    </row>
    <row r="57" spans="1:17" ht="15.95" thickTop="1">
      <c r="B57" s="26"/>
      <c r="C57" s="27"/>
    </row>
    <row r="58" spans="1:17" ht="15">
      <c r="B58" s="26"/>
      <c r="C58" s="27"/>
    </row>
    <row r="59" spans="1:17" ht="18.95">
      <c r="A59" s="2" t="s">
        <v>18</v>
      </c>
    </row>
    <row r="60" spans="1:17" ht="15.95" thickBot="1"/>
    <row r="61" spans="1:17" ht="17.100000000000001" thickTop="1" thickBot="1">
      <c r="A61" s="3" t="s">
        <v>0</v>
      </c>
      <c r="B61" s="3" t="s">
        <v>1</v>
      </c>
      <c r="C61" s="3" t="s">
        <v>7</v>
      </c>
      <c r="D61" s="3" t="s">
        <v>1</v>
      </c>
      <c r="E61" s="3" t="s">
        <v>7</v>
      </c>
      <c r="F61" s="3" t="s">
        <v>1</v>
      </c>
      <c r="G61" s="3" t="s">
        <v>183</v>
      </c>
      <c r="H61" s="3" t="s">
        <v>1</v>
      </c>
      <c r="I61" s="3" t="s">
        <v>7</v>
      </c>
      <c r="J61" s="3" t="s">
        <v>1</v>
      </c>
      <c r="K61" s="3" t="s">
        <v>7</v>
      </c>
      <c r="L61" s="3" t="s">
        <v>1</v>
      </c>
      <c r="M61" s="3" t="s">
        <v>7</v>
      </c>
    </row>
    <row r="62" spans="1:17" ht="15.95" thickTop="1">
      <c r="A62" s="32" t="s">
        <v>39</v>
      </c>
      <c r="B62" s="99">
        <f>B42</f>
        <v>2.5</v>
      </c>
      <c r="C62" s="78" t="s">
        <v>182</v>
      </c>
      <c r="D62" s="99">
        <f>D42</f>
        <v>3.33</v>
      </c>
      <c r="E62" s="78" t="s">
        <v>182</v>
      </c>
      <c r="F62" s="99">
        <f>F42</f>
        <v>3.5</v>
      </c>
      <c r="G62" s="78" t="s">
        <v>182</v>
      </c>
      <c r="H62" s="99">
        <f>H42</f>
        <v>2.5</v>
      </c>
      <c r="I62" s="78" t="s">
        <v>182</v>
      </c>
      <c r="J62" s="99">
        <f>J42</f>
        <v>3.33</v>
      </c>
      <c r="K62" s="78" t="s">
        <v>182</v>
      </c>
      <c r="L62" s="99">
        <f>L42</f>
        <v>3.5</v>
      </c>
      <c r="M62" s="78" t="s">
        <v>182</v>
      </c>
    </row>
    <row r="63" spans="1:17" ht="15">
      <c r="A63" s="6" t="s">
        <v>16</v>
      </c>
      <c r="B63" s="99">
        <f>B44</f>
        <v>50</v>
      </c>
      <c r="C63" s="78" t="s">
        <v>19</v>
      </c>
      <c r="D63" s="99">
        <f>D44</f>
        <v>50</v>
      </c>
      <c r="E63" s="78" t="s">
        <v>19</v>
      </c>
      <c r="F63" s="99">
        <f>F44</f>
        <v>50</v>
      </c>
      <c r="G63" s="78" t="s">
        <v>19</v>
      </c>
      <c r="H63" s="99">
        <f>H44</f>
        <v>5</v>
      </c>
      <c r="I63" s="78" t="s">
        <v>19</v>
      </c>
      <c r="J63" s="99">
        <f>J44</f>
        <v>5</v>
      </c>
      <c r="K63" s="82" t="s">
        <v>19</v>
      </c>
      <c r="L63" s="99">
        <f>L44</f>
        <v>5</v>
      </c>
      <c r="M63" s="82" t="s">
        <v>19</v>
      </c>
    </row>
    <row r="64" spans="1:17" ht="15">
      <c r="A64" s="6" t="s">
        <v>17</v>
      </c>
      <c r="B64" s="99">
        <f>B45</f>
        <v>0.5</v>
      </c>
      <c r="C64" s="78"/>
      <c r="D64" s="99">
        <f>D45</f>
        <v>0.33399999999999996</v>
      </c>
      <c r="E64" s="78"/>
      <c r="F64" s="99">
        <f>F45</f>
        <v>0.30000000000000004</v>
      </c>
      <c r="G64" s="78"/>
      <c r="H64" s="99">
        <f>H45</f>
        <v>0.5</v>
      </c>
      <c r="I64" s="78"/>
      <c r="J64" s="99">
        <f>J45</f>
        <v>0.33399999999999996</v>
      </c>
      <c r="K64" s="82"/>
      <c r="L64" s="99">
        <f>L45</f>
        <v>0.30000000000000004</v>
      </c>
      <c r="M64" s="82"/>
    </row>
    <row r="65" spans="1:13" ht="15">
      <c r="A65" s="6" t="s">
        <v>185</v>
      </c>
      <c r="B65" s="120">
        <v>4.4859999999999998</v>
      </c>
      <c r="C65" s="78" t="s">
        <v>3</v>
      </c>
      <c r="D65" s="120">
        <v>4.4669999999999996</v>
      </c>
      <c r="E65" s="124" t="s">
        <v>3</v>
      </c>
      <c r="F65" s="120">
        <v>4.9852999999999996</v>
      </c>
      <c r="G65" s="124"/>
      <c r="H65" s="120">
        <v>4.4589999999999996</v>
      </c>
      <c r="I65" s="124" t="s">
        <v>3</v>
      </c>
      <c r="J65" s="120">
        <v>4.4546700000000001</v>
      </c>
      <c r="K65" s="125" t="s">
        <v>3</v>
      </c>
      <c r="L65" s="120">
        <v>4.4869000000000003</v>
      </c>
      <c r="M65" s="125" t="s">
        <v>3</v>
      </c>
    </row>
    <row r="66" spans="1:13" ht="15">
      <c r="A66" s="6" t="s">
        <v>186</v>
      </c>
      <c r="B66" s="120">
        <v>0.40200000000000002</v>
      </c>
      <c r="C66" s="78" t="s">
        <v>4</v>
      </c>
      <c r="D66" s="130">
        <v>0.39900000000000002</v>
      </c>
      <c r="E66" s="124" t="s">
        <v>4</v>
      </c>
      <c r="F66" s="120">
        <v>0.40473599999999998</v>
      </c>
      <c r="G66" s="124"/>
      <c r="H66" s="120">
        <v>3.9769000000000001</v>
      </c>
      <c r="I66" s="124" t="s">
        <v>4</v>
      </c>
      <c r="J66" s="120">
        <v>3.9687999999999999</v>
      </c>
      <c r="K66" s="125" t="s">
        <v>4</v>
      </c>
      <c r="L66" s="120">
        <v>4.0259999999999998</v>
      </c>
      <c r="M66" s="125" t="s">
        <v>4</v>
      </c>
    </row>
    <row r="67" spans="1:13" ht="15">
      <c r="A67" s="32" t="s">
        <v>171</v>
      </c>
      <c r="B67" s="112" t="str">
        <f>IF(B68&gt;=B69/2,"Yes","No")</f>
        <v>Yes</v>
      </c>
      <c r="C67" s="78"/>
      <c r="D67" s="126" t="str">
        <f>IF(D68&gt;=D69/2,"Yes","No")</f>
        <v>Yes</v>
      </c>
      <c r="E67" s="124"/>
      <c r="F67" s="126" t="str">
        <f>IF(F68&gt;=F69/2,"Yes","No")</f>
        <v>Yes</v>
      </c>
      <c r="G67" s="124"/>
      <c r="H67" s="126" t="str">
        <f>IF(H68&gt;=H69/2,"Yes","No")</f>
        <v>Yes</v>
      </c>
      <c r="I67" s="124"/>
      <c r="J67" s="126" t="str">
        <f>IF(J68&gt;=J69/2,"Yes","No")</f>
        <v>Yes</v>
      </c>
      <c r="K67" s="125"/>
      <c r="L67" s="126" t="str">
        <f>IF(L68&gt;=L69/2,"Yes","No")</f>
        <v>Yes</v>
      </c>
      <c r="M67" s="125"/>
    </row>
    <row r="68" spans="1:13" ht="15">
      <c r="A68" s="32" t="s">
        <v>46</v>
      </c>
      <c r="B68" s="119">
        <v>0.17100000000000001</v>
      </c>
      <c r="C68" s="78"/>
      <c r="D68" s="119">
        <v>0.13300000000000001</v>
      </c>
      <c r="E68" s="124"/>
      <c r="F68" s="120">
        <v>0.1285</v>
      </c>
      <c r="G68" s="124"/>
      <c r="H68" s="119">
        <v>1.7837000000000001</v>
      </c>
      <c r="I68" s="124"/>
      <c r="J68" s="119">
        <v>1.3297099999999999</v>
      </c>
      <c r="K68" s="127"/>
      <c r="L68" s="119">
        <v>1.2819400000000001</v>
      </c>
      <c r="M68" s="124"/>
    </row>
    <row r="69" spans="1:13" ht="15">
      <c r="A69" s="32" t="s">
        <v>45</v>
      </c>
      <c r="B69" s="119">
        <v>0.25</v>
      </c>
      <c r="C69" s="78" t="s">
        <v>20</v>
      </c>
      <c r="D69" s="119">
        <v>0.219</v>
      </c>
      <c r="E69" s="124" t="s">
        <v>20</v>
      </c>
      <c r="F69" s="120">
        <v>0.20984</v>
      </c>
      <c r="G69" s="124" t="s">
        <v>20</v>
      </c>
      <c r="H69" s="119">
        <v>0.24640000000000001</v>
      </c>
      <c r="I69" s="124" t="s">
        <v>20</v>
      </c>
      <c r="J69" s="119">
        <v>0.218</v>
      </c>
      <c r="K69" s="124" t="s">
        <v>20</v>
      </c>
      <c r="L69" s="119">
        <v>0.20846000000000001</v>
      </c>
      <c r="M69" s="124" t="s">
        <v>20</v>
      </c>
    </row>
    <row r="70" spans="1:13" ht="15">
      <c r="A70" s="6" t="s">
        <v>48</v>
      </c>
      <c r="B70" s="120">
        <v>0.30299999999999999</v>
      </c>
      <c r="C70" s="78" t="s">
        <v>20</v>
      </c>
      <c r="D70" s="120">
        <v>0.24199999999999999</v>
      </c>
      <c r="E70" s="124" t="s">
        <v>20</v>
      </c>
      <c r="F70" s="120">
        <v>0.2334</v>
      </c>
      <c r="G70" s="124" t="s">
        <v>20</v>
      </c>
      <c r="H70" s="120">
        <v>1.9069</v>
      </c>
      <c r="I70" s="124" t="s">
        <v>20</v>
      </c>
      <c r="J70" s="120">
        <v>1.4386000000000001</v>
      </c>
      <c r="K70" s="124" t="s">
        <v>20</v>
      </c>
      <c r="L70" s="120">
        <v>1.3859999999999999</v>
      </c>
      <c r="M70" s="124" t="s">
        <v>20</v>
      </c>
    </row>
    <row r="71" spans="1:13" ht="15">
      <c r="A71" s="6" t="s">
        <v>47</v>
      </c>
      <c r="B71" s="120">
        <v>0.19500000000000001</v>
      </c>
      <c r="C71" s="78" t="s">
        <v>20</v>
      </c>
      <c r="D71" s="120">
        <v>0.14760000000000001</v>
      </c>
      <c r="E71" s="124" t="s">
        <v>20</v>
      </c>
      <c r="F71" s="120">
        <v>0.1421</v>
      </c>
      <c r="G71" s="124" t="s">
        <v>20</v>
      </c>
      <c r="H71" s="120">
        <v>1.7851999999999999</v>
      </c>
      <c r="I71" s="124" t="s">
        <v>20</v>
      </c>
      <c r="J71" s="120">
        <v>1.3311999999999999</v>
      </c>
      <c r="K71" s="124" t="s">
        <v>20</v>
      </c>
      <c r="L71" s="120">
        <v>1.28335</v>
      </c>
      <c r="M71" s="124" t="s">
        <v>20</v>
      </c>
    </row>
    <row r="72" spans="1:13" ht="15">
      <c r="A72" s="23" t="s">
        <v>49</v>
      </c>
      <c r="B72" s="121">
        <v>8.8999999999999996E-2</v>
      </c>
      <c r="C72" s="78" t="s">
        <v>20</v>
      </c>
      <c r="D72" s="121">
        <v>8.8999999999999996E-2</v>
      </c>
      <c r="E72" s="124" t="s">
        <v>20</v>
      </c>
      <c r="F72" s="121">
        <v>8.9969999999999994E-2</v>
      </c>
      <c r="G72" s="124" t="s">
        <v>20</v>
      </c>
      <c r="H72" s="121">
        <v>0.89190000000000003</v>
      </c>
      <c r="I72" s="124" t="s">
        <v>20</v>
      </c>
      <c r="J72" s="121">
        <v>0.89090000000000003</v>
      </c>
      <c r="K72" s="124" t="s">
        <v>20</v>
      </c>
      <c r="L72" s="121">
        <v>0.89729999999999999</v>
      </c>
      <c r="M72" s="124" t="s">
        <v>20</v>
      </c>
    </row>
    <row r="73" spans="1:13" ht="15">
      <c r="A73" s="23" t="s">
        <v>51</v>
      </c>
      <c r="B73" s="121">
        <v>0.13700000000000001</v>
      </c>
      <c r="C73" s="78" t="s">
        <v>20</v>
      </c>
      <c r="D73" s="121">
        <v>8.7529999999999997E-2</v>
      </c>
      <c r="E73" s="124" t="s">
        <v>20</v>
      </c>
      <c r="F73" s="121">
        <v>7.7780000000000002E-2</v>
      </c>
      <c r="G73" s="124" t="s">
        <v>20</v>
      </c>
      <c r="H73" s="121">
        <v>1.2622899999999999</v>
      </c>
      <c r="I73" s="124" t="s">
        <v>20</v>
      </c>
      <c r="J73" s="121">
        <v>0.76467399999999996</v>
      </c>
      <c r="K73" s="124" t="s">
        <v>20</v>
      </c>
      <c r="L73" s="121">
        <v>0.70287999999999995</v>
      </c>
      <c r="M73" s="124" t="s">
        <v>20</v>
      </c>
    </row>
    <row r="74" spans="1:13" ht="15">
      <c r="A74" s="23" t="s">
        <v>50</v>
      </c>
      <c r="B74" s="121">
        <v>0.10290000000000001</v>
      </c>
      <c r="C74" s="78" t="s">
        <v>20</v>
      </c>
      <c r="D74" s="121">
        <v>8.1699999999999995E-2</v>
      </c>
      <c r="E74" s="124" t="s">
        <v>20</v>
      </c>
      <c r="F74" s="121">
        <v>7.7700000000000005E-2</v>
      </c>
      <c r="G74" s="124" t="s">
        <v>20</v>
      </c>
      <c r="H74" s="121">
        <v>0.89244000000000001</v>
      </c>
      <c r="I74" s="124" t="s">
        <v>20</v>
      </c>
      <c r="J74" s="121">
        <v>0.62675800000000004</v>
      </c>
      <c r="K74" s="124" t="s">
        <v>20</v>
      </c>
      <c r="L74" s="121">
        <v>0.58899999999999997</v>
      </c>
      <c r="M74" s="124" t="s">
        <v>20</v>
      </c>
    </row>
    <row r="75" spans="1:13" ht="15">
      <c r="A75" s="6" t="s">
        <v>52</v>
      </c>
      <c r="B75" s="121">
        <v>4.9965999999999999</v>
      </c>
      <c r="C75" s="78" t="s">
        <v>3</v>
      </c>
      <c r="D75" s="121">
        <v>4.9698000000000002</v>
      </c>
      <c r="E75" s="124" t="s">
        <v>3</v>
      </c>
      <c r="F75" s="121">
        <v>4.9989999999999997</v>
      </c>
      <c r="G75" s="124" t="s">
        <v>3</v>
      </c>
      <c r="H75" s="121">
        <v>4.9733499999999999</v>
      </c>
      <c r="I75" s="124" t="s">
        <v>3</v>
      </c>
      <c r="J75" s="121">
        <v>4.9626000000000001</v>
      </c>
      <c r="K75" s="124" t="s">
        <v>3</v>
      </c>
      <c r="L75" s="121">
        <v>4.9939999999999998</v>
      </c>
      <c r="M75" s="124" t="s">
        <v>3</v>
      </c>
    </row>
    <row r="76" spans="1:13" ht="15">
      <c r="A76" s="123" t="s">
        <v>53</v>
      </c>
      <c r="B76" s="121">
        <v>4.4980000000000002</v>
      </c>
      <c r="C76" s="118" t="s">
        <v>3</v>
      </c>
      <c r="D76" s="121">
        <v>4.4669999999999996</v>
      </c>
      <c r="E76" s="128" t="s">
        <v>3</v>
      </c>
      <c r="F76" s="121">
        <v>4.4978400000000001</v>
      </c>
      <c r="G76" s="128" t="s">
        <v>3</v>
      </c>
      <c r="H76" s="121">
        <v>4.4318499999999998</v>
      </c>
      <c r="I76" s="128" t="s">
        <v>3</v>
      </c>
      <c r="J76" s="121">
        <v>4.4320000000000004</v>
      </c>
      <c r="K76" s="128" t="s">
        <v>3</v>
      </c>
      <c r="L76" s="121">
        <v>4.4645999999999999</v>
      </c>
      <c r="M76" s="128" t="s">
        <v>3</v>
      </c>
    </row>
    <row r="77" spans="1:13" ht="15.95" thickBot="1">
      <c r="A77" s="9" t="s">
        <v>54</v>
      </c>
      <c r="B77" s="122">
        <v>2.5999999999999999E-3</v>
      </c>
      <c r="C77" s="79" t="s">
        <v>3</v>
      </c>
      <c r="D77" s="122">
        <v>2.1299999999999999E-3</v>
      </c>
      <c r="E77" s="129" t="s">
        <v>3</v>
      </c>
      <c r="F77" s="122">
        <v>2.0799999999999998E-3</v>
      </c>
      <c r="G77" s="129" t="s">
        <v>3</v>
      </c>
      <c r="H77" s="122">
        <v>2.8500000000000001E-2</v>
      </c>
      <c r="I77" s="129" t="s">
        <v>3</v>
      </c>
      <c r="J77" s="122">
        <v>1.9400000000000001E-2</v>
      </c>
      <c r="K77" s="129" t="s">
        <v>3</v>
      </c>
      <c r="L77" s="122">
        <v>1.7999999999999999E-2</v>
      </c>
      <c r="M77" s="129" t="s">
        <v>3</v>
      </c>
    </row>
    <row r="78" spans="1:13" ht="15.95" thickTop="1">
      <c r="D78" t="s">
        <v>184</v>
      </c>
    </row>
    <row r="80" spans="1:13" ht="18">
      <c r="A80" s="2" t="s">
        <v>21</v>
      </c>
    </row>
    <row r="81" spans="1:3" ht="15" thickBot="1"/>
    <row r="82" spans="1:3" ht="16.5" thickTop="1" thickBot="1">
      <c r="A82" s="3" t="s">
        <v>0</v>
      </c>
      <c r="B82" s="3" t="s">
        <v>1</v>
      </c>
      <c r="C82" s="3" t="s">
        <v>7</v>
      </c>
    </row>
    <row r="83" spans="1:3" ht="15" thickTop="1">
      <c r="A83" s="4" t="s">
        <v>126</v>
      </c>
      <c r="B83" s="5">
        <v>1</v>
      </c>
      <c r="C83" s="13" t="s">
        <v>3</v>
      </c>
    </row>
    <row r="84" spans="1:3">
      <c r="A84" s="14" t="s">
        <v>127</v>
      </c>
      <c r="B84" s="28">
        <v>4</v>
      </c>
      <c r="C84" s="16" t="s">
        <v>3</v>
      </c>
    </row>
    <row r="85" spans="1:3">
      <c r="A85" s="14" t="s">
        <v>22</v>
      </c>
      <c r="B85" s="28">
        <v>2.5</v>
      </c>
      <c r="C85" s="29" t="s">
        <v>3</v>
      </c>
    </row>
    <row r="86" spans="1:3" ht="15">
      <c r="A86" s="37" t="s">
        <v>132</v>
      </c>
      <c r="B86" s="30">
        <v>22</v>
      </c>
      <c r="C86" s="17" t="s">
        <v>23</v>
      </c>
    </row>
    <row r="87" spans="1:3">
      <c r="A87" s="37" t="s">
        <v>131</v>
      </c>
      <c r="B87" s="28">
        <v>1</v>
      </c>
      <c r="C87" s="17" t="s">
        <v>24</v>
      </c>
    </row>
    <row r="88" spans="1:3">
      <c r="A88" s="37" t="s">
        <v>130</v>
      </c>
      <c r="B88" s="15"/>
      <c r="C88" s="17" t="s">
        <v>25</v>
      </c>
    </row>
    <row r="89" spans="1:3">
      <c r="A89" s="37" t="s">
        <v>129</v>
      </c>
      <c r="B89" s="15"/>
      <c r="C89" s="17" t="s">
        <v>136</v>
      </c>
    </row>
    <row r="90" spans="1:3">
      <c r="A90" s="37" t="s">
        <v>133</v>
      </c>
      <c r="B90" s="15"/>
      <c r="C90" s="17" t="s">
        <v>137</v>
      </c>
    </row>
    <row r="91" spans="1:3">
      <c r="A91" s="37" t="s">
        <v>134</v>
      </c>
      <c r="B91" s="15"/>
      <c r="C91" s="17" t="s">
        <v>138</v>
      </c>
    </row>
    <row r="92" spans="1:3">
      <c r="A92" s="37" t="s">
        <v>135</v>
      </c>
      <c r="B92" s="15"/>
      <c r="C92" s="17" t="s">
        <v>139</v>
      </c>
    </row>
    <row r="93" spans="1:3">
      <c r="A93" s="37" t="s">
        <v>26</v>
      </c>
      <c r="B93" s="15"/>
      <c r="C93" s="17" t="s">
        <v>140</v>
      </c>
    </row>
    <row r="94" spans="1:3">
      <c r="A94" s="37" t="s">
        <v>27</v>
      </c>
      <c r="B94" s="15"/>
      <c r="C94" s="17" t="s">
        <v>141</v>
      </c>
    </row>
    <row r="95" spans="1:3">
      <c r="A95" s="37" t="s">
        <v>128</v>
      </c>
      <c r="B95" s="15"/>
      <c r="C95" s="17" t="s">
        <v>142</v>
      </c>
    </row>
    <row r="96" spans="1:3">
      <c r="A96" s="14" t="s">
        <v>124</v>
      </c>
      <c r="B96" s="28">
        <v>4.7</v>
      </c>
      <c r="C96" s="17" t="s">
        <v>28</v>
      </c>
    </row>
    <row r="97" spans="1:13">
      <c r="A97" s="14" t="s">
        <v>125</v>
      </c>
      <c r="B97" s="28">
        <v>10</v>
      </c>
      <c r="C97" s="17" t="s">
        <v>28</v>
      </c>
    </row>
    <row r="98" spans="1:13">
      <c r="A98" s="14" t="s">
        <v>29</v>
      </c>
      <c r="B98" s="15"/>
      <c r="C98" s="17"/>
    </row>
    <row r="99" spans="1:13" ht="15" thickBot="1">
      <c r="A99" s="9" t="s">
        <v>30</v>
      </c>
      <c r="B99" s="19"/>
      <c r="C99" s="18"/>
    </row>
    <row r="100" spans="1:13" ht="15" thickTop="1"/>
    <row r="102" spans="1:13" ht="18">
      <c r="A102" s="2" t="s">
        <v>31</v>
      </c>
    </row>
    <row r="103" spans="1:13" ht="15" thickBot="1"/>
    <row r="104" spans="1:13" ht="16.5" thickTop="1" thickBot="1">
      <c r="A104" s="3" t="s">
        <v>0</v>
      </c>
      <c r="B104" s="3" t="s">
        <v>1</v>
      </c>
      <c r="C104" s="3" t="s">
        <v>7</v>
      </c>
      <c r="D104" s="3" t="s">
        <v>1</v>
      </c>
      <c r="E104" s="3" t="s">
        <v>7</v>
      </c>
      <c r="F104" s="3"/>
      <c r="G104" s="3"/>
      <c r="H104" s="3" t="s">
        <v>1</v>
      </c>
      <c r="I104" s="3" t="s">
        <v>7</v>
      </c>
      <c r="J104" s="3" t="s">
        <v>1</v>
      </c>
      <c r="K104" s="3" t="s">
        <v>7</v>
      </c>
      <c r="L104" s="3"/>
      <c r="M104" s="3"/>
    </row>
    <row r="105" spans="1:13" ht="15" thickTop="1">
      <c r="A105" s="6" t="s">
        <v>16</v>
      </c>
      <c r="B105" s="7">
        <f>B44</f>
        <v>50</v>
      </c>
      <c r="C105" s="20" t="s">
        <v>19</v>
      </c>
      <c r="D105" s="7">
        <f>D44</f>
        <v>50</v>
      </c>
      <c r="E105" s="20" t="s">
        <v>19</v>
      </c>
      <c r="F105" s="7">
        <f>F44</f>
        <v>50</v>
      </c>
      <c r="G105" s="20" t="s">
        <v>19</v>
      </c>
      <c r="H105" s="7">
        <f>H44</f>
        <v>5</v>
      </c>
      <c r="I105" s="20" t="s">
        <v>19</v>
      </c>
      <c r="J105" s="7">
        <f>L44</f>
        <v>5</v>
      </c>
      <c r="K105" s="21" t="s">
        <v>19</v>
      </c>
      <c r="L105" s="27"/>
      <c r="M105" s="27"/>
    </row>
    <row r="106" spans="1:13">
      <c r="A106" s="6" t="s">
        <v>32</v>
      </c>
      <c r="B106" s="7">
        <v>2.5</v>
      </c>
      <c r="C106" s="20" t="s">
        <v>3</v>
      </c>
      <c r="D106" s="7">
        <v>2.5</v>
      </c>
      <c r="E106" s="20" t="s">
        <v>3</v>
      </c>
      <c r="F106" s="7">
        <v>2.5</v>
      </c>
      <c r="G106" s="20" t="s">
        <v>3</v>
      </c>
      <c r="H106" s="7">
        <v>2.5</v>
      </c>
      <c r="I106" s="20" t="s">
        <v>3</v>
      </c>
      <c r="J106" s="7">
        <v>2.5</v>
      </c>
      <c r="K106" s="21" t="s">
        <v>3</v>
      </c>
      <c r="L106" s="27"/>
      <c r="M106" s="27"/>
    </row>
    <row r="107" spans="1:13">
      <c r="A107" s="6" t="s">
        <v>33</v>
      </c>
      <c r="B107" s="22"/>
      <c r="C107" s="20" t="s">
        <v>3</v>
      </c>
      <c r="D107" s="22"/>
      <c r="E107" s="20" t="s">
        <v>3</v>
      </c>
      <c r="F107" s="20"/>
      <c r="G107" s="20" t="s">
        <v>3</v>
      </c>
      <c r="H107" s="22"/>
      <c r="I107" s="20" t="s">
        <v>3</v>
      </c>
      <c r="J107" s="22"/>
      <c r="K107" s="21" t="s">
        <v>3</v>
      </c>
      <c r="L107" s="27"/>
      <c r="M107" s="27"/>
    </row>
    <row r="108" spans="1:13" ht="15" thickBot="1">
      <c r="A108" s="9" t="s">
        <v>34</v>
      </c>
      <c r="B108" s="19"/>
      <c r="C108" s="24" t="s">
        <v>35</v>
      </c>
      <c r="D108" s="19"/>
      <c r="E108" s="24" t="s">
        <v>35</v>
      </c>
      <c r="F108" s="24"/>
      <c r="G108" s="24" t="s">
        <v>35</v>
      </c>
      <c r="H108" s="19"/>
      <c r="I108" s="24" t="s">
        <v>35</v>
      </c>
      <c r="J108" s="19"/>
      <c r="K108" s="25" t="s">
        <v>35</v>
      </c>
      <c r="L108" s="27"/>
      <c r="M108" s="27"/>
    </row>
    <row r="109" spans="1:13" ht="15" thickTop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A05D-7210-44AC-859D-2846F0884F7B}">
  <dimension ref="A1:G52"/>
  <sheetViews>
    <sheetView zoomScale="109" workbookViewId="0">
      <selection activeCell="G15" sqref="G15"/>
    </sheetView>
  </sheetViews>
  <sheetFormatPr defaultColWidth="12" defaultRowHeight="14.25"/>
  <cols>
    <col min="1" max="1" width="24.5" customWidth="1"/>
    <col min="2" max="9" width="12.875" customWidth="1"/>
  </cols>
  <sheetData>
    <row r="1" spans="1:3" ht="21.95">
      <c r="A1" s="1" t="s">
        <v>91</v>
      </c>
    </row>
    <row r="3" spans="1:3" ht="18.95">
      <c r="A3" s="2" t="s">
        <v>61</v>
      </c>
    </row>
    <row r="4" spans="1:3" ht="15.95" thickBot="1"/>
    <row r="5" spans="1:3" ht="17.100000000000001" thickTop="1" thickBot="1">
      <c r="A5" s="3" t="s">
        <v>0</v>
      </c>
      <c r="B5" s="3" t="s">
        <v>1</v>
      </c>
      <c r="C5" s="3" t="s">
        <v>2</v>
      </c>
    </row>
    <row r="6" spans="1:3" ht="15" thickTop="1">
      <c r="A6" s="31" t="s">
        <v>103</v>
      </c>
      <c r="B6" s="5">
        <f>SS_Analysis!B25</f>
        <v>50</v>
      </c>
      <c r="C6" s="17" t="s">
        <v>8</v>
      </c>
    </row>
    <row r="7" spans="1:3" ht="15">
      <c r="A7" s="32" t="s">
        <v>93</v>
      </c>
      <c r="B7" s="7">
        <f>SS_Analysis!H46</f>
        <v>2</v>
      </c>
      <c r="C7" s="8" t="s">
        <v>42</v>
      </c>
    </row>
    <row r="8" spans="1:3" ht="15">
      <c r="A8" s="32" t="s">
        <v>94</v>
      </c>
      <c r="B8" s="7">
        <f>SS_Analysis!H49</f>
        <v>2.125</v>
      </c>
      <c r="C8" s="8" t="s">
        <v>42</v>
      </c>
    </row>
    <row r="9" spans="1:3" ht="15">
      <c r="A9" s="32" t="s">
        <v>92</v>
      </c>
      <c r="B9" s="7">
        <f>SS_Analysis!H50</f>
        <v>2.0013016597538047</v>
      </c>
      <c r="C9" s="8" t="s">
        <v>42</v>
      </c>
    </row>
    <row r="10" spans="1:3" ht="15">
      <c r="A10" s="6" t="s">
        <v>62</v>
      </c>
      <c r="B10" s="7">
        <v>0.25</v>
      </c>
      <c r="C10" s="8" t="s">
        <v>63</v>
      </c>
    </row>
    <row r="11" spans="1:3" ht="15.95" thickBot="1">
      <c r="A11" s="9" t="s">
        <v>5</v>
      </c>
      <c r="B11" s="10">
        <f>SS_Analysis!B11</f>
        <v>100</v>
      </c>
      <c r="C11" s="11" t="s">
        <v>6</v>
      </c>
    </row>
    <row r="12" spans="1:3" ht="17.100000000000001" thickTop="1">
      <c r="A12" s="12"/>
    </row>
    <row r="14" spans="1:3" ht="18.95">
      <c r="A14" s="2" t="s">
        <v>64</v>
      </c>
    </row>
    <row r="15" spans="1:3" ht="20.100000000000001" thickBot="1">
      <c r="A15" s="2"/>
    </row>
    <row r="16" spans="1:3" ht="17.100000000000001" thickTop="1" thickBot="1">
      <c r="A16" s="3" t="s">
        <v>0</v>
      </c>
      <c r="B16" s="3" t="s">
        <v>1</v>
      </c>
      <c r="C16" s="3" t="s">
        <v>2</v>
      </c>
    </row>
    <row r="17" spans="1:3" ht="15.95" thickTop="1">
      <c r="A17" s="39" t="s">
        <v>65</v>
      </c>
      <c r="B17" s="40" t="s">
        <v>66</v>
      </c>
      <c r="C17" s="41"/>
    </row>
    <row r="18" spans="1:3" ht="15">
      <c r="A18" s="42" t="s">
        <v>67</v>
      </c>
      <c r="B18" s="43" t="s">
        <v>68</v>
      </c>
      <c r="C18" s="44"/>
    </row>
    <row r="19" spans="1:3" ht="15">
      <c r="A19" s="42" t="s">
        <v>69</v>
      </c>
      <c r="B19" s="45"/>
      <c r="C19" s="44" t="s">
        <v>70</v>
      </c>
    </row>
    <row r="20" spans="1:3" ht="15">
      <c r="A20" s="42" t="s">
        <v>71</v>
      </c>
      <c r="B20" s="45"/>
      <c r="C20" s="44" t="s">
        <v>72</v>
      </c>
    </row>
    <row r="21" spans="1:3" ht="15">
      <c r="A21" s="42" t="s">
        <v>73</v>
      </c>
      <c r="B21" s="45"/>
      <c r="C21" s="44" t="s">
        <v>74</v>
      </c>
    </row>
    <row r="22" spans="1:3" ht="15">
      <c r="A22" s="42" t="s">
        <v>75</v>
      </c>
      <c r="B22" s="45"/>
      <c r="C22" s="44" t="s">
        <v>70</v>
      </c>
    </row>
    <row r="23" spans="1:3" ht="15">
      <c r="A23" s="42" t="s">
        <v>76</v>
      </c>
      <c r="B23" s="45"/>
      <c r="C23" s="44" t="s">
        <v>72</v>
      </c>
    </row>
    <row r="24" spans="1:3">
      <c r="A24" s="42" t="s">
        <v>77</v>
      </c>
      <c r="B24" s="46"/>
      <c r="C24" s="44" t="s">
        <v>78</v>
      </c>
    </row>
    <row r="25" spans="1:3">
      <c r="A25" s="42" t="s">
        <v>79</v>
      </c>
      <c r="B25" s="46"/>
      <c r="C25" s="44" t="s">
        <v>80</v>
      </c>
    </row>
    <row r="26" spans="1:3">
      <c r="A26" s="47" t="s">
        <v>81</v>
      </c>
      <c r="B26" s="48"/>
      <c r="C26" s="44"/>
    </row>
    <row r="27" spans="1:3" ht="15.95" thickBot="1">
      <c r="A27" s="49" t="s">
        <v>82</v>
      </c>
      <c r="B27" s="50">
        <v>0.65</v>
      </c>
      <c r="C27" s="51"/>
    </row>
    <row r="28" spans="1:3" ht="15.95" thickTop="1"/>
    <row r="30" spans="1:3" ht="18.95">
      <c r="A30" s="2" t="s">
        <v>83</v>
      </c>
    </row>
    <row r="31" spans="1:3" ht="15.95" thickBot="1"/>
    <row r="32" spans="1:3" ht="17.100000000000001" thickTop="1" thickBot="1">
      <c r="A32" s="3" t="s">
        <v>0</v>
      </c>
      <c r="B32" s="3" t="s">
        <v>1</v>
      </c>
      <c r="C32" s="3" t="s">
        <v>7</v>
      </c>
    </row>
    <row r="33" spans="1:7" ht="15" thickTop="1">
      <c r="A33" s="39" t="s">
        <v>84</v>
      </c>
      <c r="B33" s="52">
        <v>0.1</v>
      </c>
      <c r="C33" s="53" t="s">
        <v>144</v>
      </c>
      <c r="G33" s="54"/>
    </row>
    <row r="34" spans="1:7">
      <c r="A34" s="55" t="s">
        <v>85</v>
      </c>
      <c r="B34" s="56"/>
      <c r="C34" s="57" t="s">
        <v>145</v>
      </c>
      <c r="G34" s="54"/>
    </row>
    <row r="35" spans="1:7">
      <c r="A35" s="55" t="s">
        <v>86</v>
      </c>
      <c r="B35" s="58"/>
      <c r="C35" s="57" t="s">
        <v>146</v>
      </c>
      <c r="F35" s="59"/>
      <c r="G35" s="54"/>
    </row>
    <row r="36" spans="1:7" ht="15.75">
      <c r="A36" s="55" t="s">
        <v>87</v>
      </c>
      <c r="B36" s="60" t="str">
        <f>IF(B35&lt;=B10,"Yes","No")</f>
        <v>Yes</v>
      </c>
      <c r="C36" s="57"/>
      <c r="E36" s="12"/>
      <c r="F36" s="12"/>
      <c r="G36" s="12"/>
    </row>
    <row r="37" spans="1:7">
      <c r="A37" s="55" t="s">
        <v>88</v>
      </c>
      <c r="B37" s="56"/>
      <c r="C37" s="57" t="s">
        <v>147</v>
      </c>
    </row>
    <row r="38" spans="1:7">
      <c r="A38" s="62" t="s">
        <v>96</v>
      </c>
      <c r="B38" s="61">
        <v>0.5</v>
      </c>
      <c r="C38" s="57" t="s">
        <v>72</v>
      </c>
    </row>
    <row r="39" spans="1:7">
      <c r="A39" s="62" t="s">
        <v>95</v>
      </c>
      <c r="B39" s="56"/>
      <c r="C39" s="57" t="s">
        <v>148</v>
      </c>
    </row>
    <row r="40" spans="1:7">
      <c r="A40" s="62" t="s">
        <v>97</v>
      </c>
      <c r="B40" s="61">
        <v>5</v>
      </c>
      <c r="C40" s="57"/>
    </row>
    <row r="41" spans="1:7">
      <c r="A41" s="62" t="s">
        <v>98</v>
      </c>
      <c r="B41" s="56"/>
      <c r="C41" s="57" t="s">
        <v>149</v>
      </c>
    </row>
    <row r="42" spans="1:7" ht="15" thickBot="1">
      <c r="A42" s="64" t="s">
        <v>89</v>
      </c>
      <c r="B42" s="65"/>
      <c r="C42" s="66" t="s">
        <v>150</v>
      </c>
    </row>
    <row r="43" spans="1:7" ht="15" thickTop="1">
      <c r="B43" s="54"/>
    </row>
    <row r="45" spans="1:7" ht="18">
      <c r="A45" s="2" t="s">
        <v>99</v>
      </c>
    </row>
    <row r="46" spans="1:7" ht="15" thickBot="1"/>
    <row r="47" spans="1:7" ht="16.5" thickTop="1" thickBot="1">
      <c r="A47" s="3" t="s">
        <v>0</v>
      </c>
      <c r="B47" s="3" t="s">
        <v>1</v>
      </c>
      <c r="C47" s="3" t="s">
        <v>7</v>
      </c>
    </row>
    <row r="48" spans="1:7" ht="15" thickTop="1">
      <c r="A48" s="62" t="s">
        <v>100</v>
      </c>
      <c r="B48" s="56"/>
      <c r="C48" s="57" t="s">
        <v>90</v>
      </c>
    </row>
    <row r="49" spans="1:3">
      <c r="A49" s="55" t="s">
        <v>86</v>
      </c>
      <c r="B49" s="70"/>
      <c r="C49" s="44" t="s">
        <v>63</v>
      </c>
    </row>
    <row r="50" spans="1:3">
      <c r="A50" s="62" t="s">
        <v>151</v>
      </c>
      <c r="B50" s="70"/>
      <c r="C50" s="44" t="s">
        <v>63</v>
      </c>
    </row>
    <row r="51" spans="1:3" ht="15" thickBot="1">
      <c r="A51" s="63" t="s">
        <v>101</v>
      </c>
      <c r="B51" s="68"/>
      <c r="C51" s="69" t="s">
        <v>102</v>
      </c>
    </row>
    <row r="52" spans="1:3" ht="15" thickTop="1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SS_Analysis</vt:lpstr>
      <vt:lpstr>Inductor_Design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Duleepa Thrimawithana</dc:creator>
  <cp:lastModifiedBy>Tiffany Marsh</cp:lastModifiedBy>
  <dcterms:created xsi:type="dcterms:W3CDTF">2025-12-20T08:56:10Z</dcterms:created>
  <dcterms:modified xsi:type="dcterms:W3CDTF">2026-08-17T05:16:45Z</dcterms:modified>
</cp:coreProperties>
</file>